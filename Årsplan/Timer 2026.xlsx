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norgroup-my.sharepoint.com/personal/jan-petter_jensen_telenor_no/Documents/Privat/Spinning firma/"/>
    </mc:Choice>
  </mc:AlternateContent>
  <xr:revisionPtr revIDLastSave="0" documentId="8_{47D24A04-3DF3-6C44-A6A3-D8095D1DEE0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" sheetId="4" r:id="rId1"/>
    <sheet name="2025" sheetId="1" r:id="rId2"/>
    <sheet name="formler" sheetId="2" r:id="rId3"/>
    <sheet name="Ola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1" i="4" l="1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86" i="4"/>
  <c r="H85" i="4"/>
  <c r="L188" i="4"/>
  <c r="R88" i="4"/>
  <c r="R86" i="4"/>
  <c r="R87" i="4"/>
  <c r="R70" i="4"/>
  <c r="Q79" i="4"/>
  <c r="R84" i="4"/>
  <c r="R82" i="4"/>
  <c r="D104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E152" i="4"/>
  <c r="F152" i="4"/>
  <c r="E153" i="4"/>
  <c r="F153" i="4"/>
  <c r="E154" i="4"/>
  <c r="F154" i="4"/>
  <c r="E155" i="4"/>
  <c r="F155" i="4"/>
  <c r="E156" i="4"/>
  <c r="F156" i="4"/>
  <c r="E157" i="4"/>
  <c r="F157" i="4"/>
  <c r="E158" i="4"/>
  <c r="F158" i="4"/>
  <c r="E159" i="4"/>
  <c r="F159" i="4"/>
  <c r="E160" i="4"/>
  <c r="F160" i="4"/>
  <c r="E161" i="4"/>
  <c r="F161" i="4"/>
  <c r="E162" i="4"/>
  <c r="F162" i="4"/>
  <c r="E163" i="4"/>
  <c r="F163" i="4"/>
  <c r="E164" i="4"/>
  <c r="F164" i="4"/>
  <c r="E165" i="4"/>
  <c r="F165" i="4"/>
  <c r="E166" i="4"/>
  <c r="F166" i="4"/>
  <c r="E167" i="4"/>
  <c r="F167" i="4"/>
  <c r="E168" i="4"/>
  <c r="F168" i="4"/>
  <c r="E169" i="4"/>
  <c r="F169" i="4"/>
  <c r="E170" i="4"/>
  <c r="F170" i="4"/>
  <c r="E171" i="4"/>
  <c r="F171" i="4"/>
  <c r="E172" i="4"/>
  <c r="F172" i="4"/>
  <c r="E173" i="4"/>
  <c r="F173" i="4"/>
  <c r="E174" i="4"/>
  <c r="F174" i="4"/>
  <c r="E175" i="4"/>
  <c r="F175" i="4"/>
  <c r="E176" i="4"/>
  <c r="F176" i="4"/>
  <c r="E177" i="4"/>
  <c r="F177" i="4"/>
  <c r="E178" i="4"/>
  <c r="F178" i="4"/>
  <c r="E179" i="4"/>
  <c r="F179" i="4"/>
  <c r="E180" i="4"/>
  <c r="F180" i="4"/>
  <c r="E181" i="4"/>
  <c r="F181" i="4"/>
  <c r="E182" i="4"/>
  <c r="F182" i="4"/>
  <c r="E183" i="4"/>
  <c r="F183" i="4"/>
  <c r="E184" i="4"/>
  <c r="F184" i="4"/>
  <c r="E185" i="4"/>
  <c r="F185" i="4"/>
  <c r="E186" i="4"/>
  <c r="F186" i="4"/>
  <c r="E187" i="4"/>
  <c r="F187" i="4"/>
  <c r="E108" i="4"/>
  <c r="F108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09" i="4"/>
  <c r="C108" i="4"/>
  <c r="E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E54" i="4"/>
  <c r="F54" i="4"/>
  <c r="C54" i="4"/>
  <c r="E52" i="4"/>
  <c r="F52" i="4"/>
  <c r="C52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E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53" i="4"/>
  <c r="E55" i="4"/>
  <c r="E2" i="4"/>
  <c r="F2" i="4"/>
  <c r="C7" i="4"/>
  <c r="C8" i="4"/>
  <c r="C9" i="4"/>
  <c r="C10" i="4"/>
  <c r="C11" i="4"/>
  <c r="C12" i="4"/>
  <c r="C13" i="4"/>
  <c r="C14" i="4"/>
  <c r="C15" i="4"/>
  <c r="C16" i="4"/>
  <c r="C53" i="4"/>
  <c r="C55" i="4"/>
  <c r="C87" i="4"/>
  <c r="C2" i="4"/>
  <c r="C3" i="4"/>
  <c r="C4" i="4"/>
  <c r="C5" i="4"/>
  <c r="C6" i="4"/>
  <c r="R74" i="1"/>
  <c r="R73" i="1"/>
  <c r="D188" i="4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L59" i="1"/>
  <c r="L60" i="1"/>
  <c r="L61" i="1"/>
  <c r="L62" i="1"/>
  <c r="L63" i="1"/>
  <c r="L64" i="1"/>
  <c r="L65" i="1"/>
  <c r="L66" i="1"/>
  <c r="L67" i="1"/>
  <c r="L58" i="1"/>
  <c r="K67" i="1"/>
  <c r="K59" i="1"/>
  <c r="K60" i="1"/>
  <c r="K61" i="1"/>
  <c r="K62" i="1"/>
  <c r="K63" i="1"/>
  <c r="K64" i="1"/>
  <c r="K65" i="1"/>
  <c r="K66" i="1"/>
  <c r="G51" i="1"/>
  <c r="E57" i="1"/>
  <c r="E56" i="1"/>
  <c r="D54" i="2"/>
  <c r="B57" i="1"/>
  <c r="D53" i="2"/>
  <c r="B56" i="1"/>
  <c r="D102" i="2"/>
  <c r="D101" i="2"/>
  <c r="D100" i="2"/>
  <c r="D99" i="2"/>
  <c r="D98" i="2"/>
  <c r="D97" i="2"/>
  <c r="D96" i="2"/>
  <c r="D95" i="2"/>
  <c r="D94" i="2"/>
  <c r="D93" i="2"/>
  <c r="J158" i="4"/>
  <c r="J187" i="4"/>
  <c r="J124" i="4"/>
  <c r="H141" i="4"/>
  <c r="J174" i="4"/>
  <c r="J176" i="4"/>
  <c r="J157" i="4"/>
  <c r="J185" i="4"/>
  <c r="H187" i="4"/>
  <c r="J140" i="4"/>
  <c r="H124" i="4"/>
  <c r="J159" i="4"/>
  <c r="J186" i="4"/>
  <c r="H159" i="4"/>
  <c r="H176" i="4"/>
  <c r="F188" i="4"/>
  <c r="J122" i="4"/>
  <c r="J175" i="4"/>
  <c r="J123" i="4"/>
  <c r="J139" i="4"/>
  <c r="J141" i="4"/>
  <c r="J49" i="4"/>
  <c r="J33" i="4"/>
  <c r="J31" i="4"/>
  <c r="J85" i="4"/>
  <c r="J83" i="4"/>
  <c r="J50" i="4"/>
  <c r="J51" i="4"/>
  <c r="J32" i="4"/>
  <c r="J84" i="4"/>
  <c r="F86" i="4"/>
  <c r="J101" i="4"/>
  <c r="H33" i="4"/>
  <c r="H51" i="4"/>
  <c r="F55" i="4"/>
  <c r="F53" i="4"/>
  <c r="J68" i="4"/>
  <c r="F3" i="4"/>
  <c r="H94" i="3"/>
  <c r="H52" i="3"/>
  <c r="P17" i="1"/>
  <c r="E4" i="1"/>
  <c r="E8" i="1"/>
  <c r="E9" i="1"/>
  <c r="C94" i="3"/>
  <c r="C52" i="3"/>
  <c r="B44" i="3"/>
  <c r="B12" i="3"/>
  <c r="C52" i="1"/>
  <c r="E52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C96" i="1"/>
  <c r="E58" i="1"/>
  <c r="E59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D92" i="2"/>
  <c r="B95" i="1"/>
  <c r="D91" i="2"/>
  <c r="B94" i="1"/>
  <c r="D90" i="2"/>
  <c r="B93" i="1"/>
  <c r="D89" i="2"/>
  <c r="B92" i="1"/>
  <c r="D88" i="2"/>
  <c r="B91" i="1"/>
  <c r="D87" i="2"/>
  <c r="B90" i="1"/>
  <c r="D86" i="2"/>
  <c r="B89" i="1"/>
  <c r="D85" i="2"/>
  <c r="B88" i="1"/>
  <c r="D84" i="2"/>
  <c r="B87" i="1"/>
  <c r="D83" i="2"/>
  <c r="B86" i="1"/>
  <c r="D82" i="2"/>
  <c r="B85" i="1"/>
  <c r="D81" i="2"/>
  <c r="B84" i="1"/>
  <c r="D80" i="2"/>
  <c r="B83" i="1"/>
  <c r="D79" i="2"/>
  <c r="B82" i="1"/>
  <c r="D78" i="2"/>
  <c r="B81" i="1"/>
  <c r="D77" i="2"/>
  <c r="B80" i="1"/>
  <c r="D76" i="2"/>
  <c r="B79" i="1"/>
  <c r="D75" i="2"/>
  <c r="B78" i="1"/>
  <c r="D74" i="2"/>
  <c r="B77" i="1"/>
  <c r="D73" i="2"/>
  <c r="B76" i="1"/>
  <c r="D72" i="2"/>
  <c r="B75" i="1"/>
  <c r="D71" i="2"/>
  <c r="B74" i="1"/>
  <c r="D70" i="2"/>
  <c r="B73" i="1"/>
  <c r="D69" i="2"/>
  <c r="B72" i="1"/>
  <c r="D68" i="2"/>
  <c r="B71" i="1"/>
  <c r="D67" i="2"/>
  <c r="B70" i="1"/>
  <c r="D66" i="2"/>
  <c r="B69" i="1"/>
  <c r="D65" i="2"/>
  <c r="B68" i="1"/>
  <c r="D64" i="2"/>
  <c r="B67" i="1"/>
  <c r="D63" i="2"/>
  <c r="B66" i="1"/>
  <c r="D62" i="2"/>
  <c r="B65" i="1"/>
  <c r="D61" i="2"/>
  <c r="B64" i="1"/>
  <c r="D60" i="2"/>
  <c r="B63" i="1"/>
  <c r="D59" i="2"/>
  <c r="B62" i="1"/>
  <c r="D58" i="2"/>
  <c r="B61" i="1"/>
  <c r="D57" i="2"/>
  <c r="B60" i="1"/>
  <c r="D56" i="2"/>
  <c r="B57" i="3"/>
  <c r="D55" i="2"/>
  <c r="B58" i="1"/>
  <c r="D52" i="2"/>
  <c r="D51" i="2"/>
  <c r="D50" i="2"/>
  <c r="B49" i="1"/>
  <c r="D49" i="2"/>
  <c r="B48" i="1"/>
  <c r="D48" i="2"/>
  <c r="B47" i="1"/>
  <c r="D47" i="2"/>
  <c r="B46" i="1"/>
  <c r="D46" i="2"/>
  <c r="B45" i="1"/>
  <c r="D45" i="2"/>
  <c r="B44" i="1"/>
  <c r="D44" i="2"/>
  <c r="B43" i="1"/>
  <c r="D43" i="2"/>
  <c r="B42" i="1"/>
  <c r="D42" i="2"/>
  <c r="B41" i="1"/>
  <c r="D41" i="2"/>
  <c r="B40" i="1"/>
  <c r="D40" i="2"/>
  <c r="B39" i="1"/>
  <c r="D39" i="2"/>
  <c r="B38" i="1"/>
  <c r="D38" i="2"/>
  <c r="B37" i="1"/>
  <c r="D37" i="2"/>
  <c r="B36" i="1"/>
  <c r="D36" i="2"/>
  <c r="B35" i="1"/>
  <c r="D35" i="2"/>
  <c r="B34" i="1"/>
  <c r="D34" i="2"/>
  <c r="B33" i="1"/>
  <c r="D33" i="2"/>
  <c r="B32" i="1"/>
  <c r="D32" i="2"/>
  <c r="B31" i="1"/>
  <c r="D31" i="2"/>
  <c r="B30" i="1"/>
  <c r="D30" i="2"/>
  <c r="B29" i="1"/>
  <c r="D29" i="2"/>
  <c r="B28" i="1"/>
  <c r="D28" i="2"/>
  <c r="B27" i="1"/>
  <c r="D27" i="2"/>
  <c r="B26" i="1"/>
  <c r="D26" i="2"/>
  <c r="B25" i="1"/>
  <c r="D25" i="2"/>
  <c r="B24" i="1"/>
  <c r="D24" i="2"/>
  <c r="B23" i="1"/>
  <c r="D23" i="2"/>
  <c r="B22" i="1"/>
  <c r="D22" i="2"/>
  <c r="B21" i="1"/>
  <c r="D21" i="2"/>
  <c r="B20" i="1"/>
  <c r="D20" i="2"/>
  <c r="B19" i="1"/>
  <c r="D19" i="2"/>
  <c r="B18" i="1"/>
  <c r="D18" i="2"/>
  <c r="B17" i="1"/>
  <c r="D17" i="2"/>
  <c r="B16" i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3" i="1"/>
  <c r="D3" i="2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7" i="1"/>
  <c r="E6" i="1"/>
  <c r="E5" i="1"/>
  <c r="E3" i="1"/>
  <c r="E2" i="1"/>
  <c r="M7" i="1"/>
  <c r="F104" i="4"/>
  <c r="J195" i="4"/>
  <c r="H188" i="4"/>
  <c r="J69" i="4"/>
  <c r="J194" i="4"/>
  <c r="J193" i="4"/>
  <c r="J17" i="4"/>
  <c r="J67" i="4"/>
  <c r="H190" i="4"/>
  <c r="J16" i="4"/>
  <c r="J15" i="4"/>
  <c r="J102" i="4"/>
  <c r="J103" i="4"/>
  <c r="H69" i="4"/>
  <c r="H17" i="4"/>
  <c r="B6" i="1"/>
  <c r="B14" i="1"/>
  <c r="B7" i="1"/>
  <c r="B15" i="1"/>
  <c r="B8" i="1"/>
  <c r="B9" i="1"/>
  <c r="B31" i="3"/>
  <c r="B2" i="1"/>
  <c r="B50" i="1"/>
  <c r="B40" i="3"/>
  <c r="B11" i="1"/>
  <c r="B51" i="1"/>
  <c r="B4" i="1"/>
  <c r="B12" i="1"/>
  <c r="B5" i="1"/>
  <c r="B13" i="1"/>
  <c r="B7" i="3"/>
  <c r="B47" i="3"/>
  <c r="B15" i="3"/>
  <c r="B24" i="3"/>
  <c r="B89" i="3"/>
  <c r="B28" i="3"/>
  <c r="B81" i="3"/>
  <c r="B13" i="3"/>
  <c r="B29" i="3"/>
  <c r="B45" i="3"/>
  <c r="B73" i="3"/>
  <c r="G34" i="1"/>
  <c r="B16" i="3"/>
  <c r="B32" i="3"/>
  <c r="B48" i="3"/>
  <c r="B20" i="3"/>
  <c r="B36" i="3"/>
  <c r="B3" i="3"/>
  <c r="B21" i="3"/>
  <c r="B37" i="3"/>
  <c r="B6" i="3"/>
  <c r="B23" i="3"/>
  <c r="B39" i="3"/>
  <c r="B78" i="3"/>
  <c r="B93" i="3"/>
  <c r="B77" i="3"/>
  <c r="B8" i="3"/>
  <c r="B17" i="3"/>
  <c r="B25" i="3"/>
  <c r="B33" i="3"/>
  <c r="B41" i="3"/>
  <c r="B49" i="3"/>
  <c r="B92" i="3"/>
  <c r="B84" i="3"/>
  <c r="B76" i="3"/>
  <c r="B68" i="3"/>
  <c r="B60" i="3"/>
  <c r="B86" i="3"/>
  <c r="B69" i="3"/>
  <c r="E96" i="1"/>
  <c r="G63" i="1"/>
  <c r="B9" i="3"/>
  <c r="B18" i="3"/>
  <c r="B26" i="3"/>
  <c r="B34" i="3"/>
  <c r="B42" i="3"/>
  <c r="B50" i="3"/>
  <c r="B91" i="3"/>
  <c r="B83" i="3"/>
  <c r="B75" i="3"/>
  <c r="B67" i="3"/>
  <c r="B59" i="3"/>
  <c r="B70" i="3"/>
  <c r="B59" i="1"/>
  <c r="B85" i="3"/>
  <c r="G89" i="1"/>
  <c r="G95" i="1"/>
  <c r="B2" i="3"/>
  <c r="B11" i="3"/>
  <c r="B19" i="3"/>
  <c r="B27" i="3"/>
  <c r="B35" i="3"/>
  <c r="B43" i="3"/>
  <c r="B51" i="3"/>
  <c r="B90" i="3"/>
  <c r="B82" i="3"/>
  <c r="B74" i="3"/>
  <c r="B66" i="3"/>
  <c r="B58" i="3"/>
  <c r="B65" i="3"/>
  <c r="B64" i="3"/>
  <c r="B4" i="3"/>
  <c r="B88" i="3"/>
  <c r="B80" i="3"/>
  <c r="B72" i="3"/>
  <c r="B5" i="3"/>
  <c r="B14" i="3"/>
  <c r="B22" i="3"/>
  <c r="B30" i="3"/>
  <c r="B38" i="3"/>
  <c r="B46" i="3"/>
  <c r="B56" i="3"/>
  <c r="B87" i="3"/>
  <c r="B79" i="3"/>
  <c r="B71" i="3"/>
  <c r="B63" i="3"/>
  <c r="B62" i="3"/>
  <c r="B61" i="3"/>
  <c r="H103" i="4"/>
  <c r="G72" i="1"/>
  <c r="G81" i="1"/>
  <c r="G43" i="1"/>
  <c r="G9" i="1"/>
  <c r="G17" i="1"/>
  <c r="G25" i="1"/>
  <c r="K104" i="4"/>
  <c r="J196" i="4"/>
  <c r="J188" i="4"/>
  <c r="G96" i="1"/>
</calcChain>
</file>

<file path=xl/sharedStrings.xml><?xml version="1.0" encoding="utf-8"?>
<sst xmlns="http://schemas.openxmlformats.org/spreadsheetml/2006/main" count="392" uniqueCount="45">
  <si>
    <t>Dato</t>
  </si>
  <si>
    <t>Dag</t>
  </si>
  <si>
    <t>Time</t>
  </si>
  <si>
    <t>Utbetalt</t>
  </si>
  <si>
    <t>Fakturert</t>
  </si>
  <si>
    <t>Timesats</t>
  </si>
  <si>
    <t>Faktura sendt</t>
  </si>
  <si>
    <t>Ukedag</t>
  </si>
  <si>
    <t>Mandag</t>
  </si>
  <si>
    <t>Tirsdag</t>
  </si>
  <si>
    <t>Onsdag</t>
  </si>
  <si>
    <t>Torsdag</t>
  </si>
  <si>
    <t>Fredag</t>
  </si>
  <si>
    <t>Lørdag</t>
  </si>
  <si>
    <t>Søndag</t>
  </si>
  <si>
    <t>SUM</t>
  </si>
  <si>
    <t>Kommentar</t>
  </si>
  <si>
    <t>Påske</t>
  </si>
  <si>
    <t>Kr. Himmelfartsdag</t>
  </si>
  <si>
    <t>mulig ferie</t>
  </si>
  <si>
    <t>Himmelfart</t>
  </si>
  <si>
    <t>Alpene</t>
  </si>
  <si>
    <t>Vikar</t>
  </si>
  <si>
    <t>Ferie</t>
  </si>
  <si>
    <t>Korrigert versjon</t>
  </si>
  <si>
    <t>Himmerfart</t>
  </si>
  <si>
    <t>NOD</t>
  </si>
  <si>
    <t>KITRON</t>
  </si>
  <si>
    <t>mål</t>
  </si>
  <si>
    <t>nå</t>
  </si>
  <si>
    <t>%</t>
  </si>
  <si>
    <t>Hvor</t>
  </si>
  <si>
    <t>Equinor ML33</t>
  </si>
  <si>
    <t>Aker S</t>
  </si>
  <si>
    <t>Telenor</t>
  </si>
  <si>
    <t>Timespris</t>
  </si>
  <si>
    <t>Betale Skatt</t>
  </si>
  <si>
    <t>Total skatt</t>
  </si>
  <si>
    <t>Total</t>
  </si>
  <si>
    <t>TEL</t>
  </si>
  <si>
    <t>Verdi</t>
  </si>
  <si>
    <t>Tot NOD</t>
  </si>
  <si>
    <t>NOD ny</t>
  </si>
  <si>
    <t>NOD kr</t>
  </si>
  <si>
    <t>februar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</si>
</sst>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6" fontId="0" fillId="0" borderId="0" xfId="0" applyNumberFormat="1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2" fontId="0" fillId="0" borderId="0" xfId="0" applyNumberFormat="1"/>
    <xf numFmtId="14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58C-65E5-4541-BE0C-AFC46E6BC9C9}">
  <dimension ref="A1:R196"/>
  <sheetViews>
    <sheetView tabSelected="1" topLeftCell="A83" workbookViewId="0">
      <selection activeCell="F95" sqref="F95"/>
    </sheetView>
  </sheetViews>
  <sheetFormatPr defaultColWidth="10.76171875" defaultRowHeight="15" x14ac:dyDescent="0.2"/>
  <cols>
    <col min="1" max="1" width="12.375" bestFit="1" customWidth="1"/>
    <col min="2" max="2" width="10.0859375" bestFit="1" customWidth="1"/>
    <col min="3" max="3" width="7.6640625" bestFit="1" customWidth="1"/>
    <col min="4" max="4" width="6.05078125" bestFit="1" customWidth="1"/>
    <col min="5" max="5" width="8.609375" bestFit="1" customWidth="1"/>
    <col min="6" max="6" width="8.875" bestFit="1" customWidth="1"/>
    <col min="7" max="7" width="11.1640625" bestFit="1" customWidth="1"/>
    <col min="8" max="8" width="6.9921875" bestFit="1" customWidth="1"/>
    <col min="9" max="9" width="12.375" bestFit="1" customWidth="1"/>
    <col min="10" max="10" width="12.64453125" bestFit="1" customWidth="1"/>
    <col min="11" max="11" width="13.1796875" bestFit="1" customWidth="1"/>
    <col min="17" max="17" width="16.41015625" customWidth="1"/>
    <col min="18" max="18" width="11.56640625" bestFit="1" customWidth="1"/>
  </cols>
  <sheetData>
    <row r="1" spans="1:12" x14ac:dyDescent="0.2">
      <c r="A1" t="s">
        <v>31</v>
      </c>
      <c r="B1" t="s">
        <v>0</v>
      </c>
      <c r="C1" t="s">
        <v>7</v>
      </c>
      <c r="D1" t="s">
        <v>2</v>
      </c>
      <c r="E1" t="s">
        <v>5</v>
      </c>
      <c r="F1" t="s">
        <v>4</v>
      </c>
      <c r="G1" t="s">
        <v>16</v>
      </c>
      <c r="H1" t="s">
        <v>15</v>
      </c>
      <c r="K1" t="s">
        <v>6</v>
      </c>
      <c r="L1" t="s">
        <v>3</v>
      </c>
    </row>
    <row r="2" spans="1:12" x14ac:dyDescent="0.2">
      <c r="A2" t="s">
        <v>33</v>
      </c>
      <c r="B2" s="1">
        <v>46027</v>
      </c>
      <c r="C2" t="str">
        <f t="shared" ref="C2:C5" si="0">TEXT(B2,"dddd")</f>
        <v>mandag</v>
      </c>
      <c r="D2">
        <v>1</v>
      </c>
      <c r="E2">
        <f>VLOOKUP(A2,formler!$G$3:$H$5,2,FALSE)</f>
        <v>1000</v>
      </c>
      <c r="F2">
        <f>D2*E2</f>
        <v>1000</v>
      </c>
    </row>
    <row r="3" spans="1:12" x14ac:dyDescent="0.2">
      <c r="A3" t="s">
        <v>32</v>
      </c>
      <c r="B3" s="1">
        <v>46028</v>
      </c>
      <c r="C3" t="str">
        <f t="shared" si="0"/>
        <v>tirsdag</v>
      </c>
      <c r="D3">
        <v>1.5</v>
      </c>
      <c r="E3">
        <f>VLOOKUP(A3,formler!$G$3:$H$5,2,FALSE)</f>
        <v>773</v>
      </c>
      <c r="F3">
        <f>D3*E3</f>
        <v>1159.5</v>
      </c>
    </row>
    <row r="4" spans="1:12" x14ac:dyDescent="0.2">
      <c r="A4" t="s">
        <v>34</v>
      </c>
      <c r="B4" s="1">
        <v>46030</v>
      </c>
      <c r="C4" t="str">
        <f t="shared" si="0"/>
        <v>torsdag</v>
      </c>
      <c r="D4">
        <v>1</v>
      </c>
      <c r="E4">
        <f>VLOOKUP(A4,formler!$G$3:$H$5,2,FALSE)</f>
        <v>1000</v>
      </c>
      <c r="F4">
        <f>D4*E4</f>
        <v>1000</v>
      </c>
    </row>
    <row r="5" spans="1:12" x14ac:dyDescent="0.2">
      <c r="A5" t="s">
        <v>32</v>
      </c>
      <c r="B5" s="1">
        <v>46030</v>
      </c>
      <c r="C5" t="str">
        <f t="shared" si="0"/>
        <v>torsdag</v>
      </c>
      <c r="D5">
        <v>1</v>
      </c>
      <c r="E5">
        <f>VLOOKUP(A5,formler!$G$3:$H$5,2,FALSE)</f>
        <v>773</v>
      </c>
      <c r="F5">
        <f t="shared" ref="F5:F52" si="1">D5*E5</f>
        <v>773</v>
      </c>
    </row>
    <row r="6" spans="1:12" x14ac:dyDescent="0.2">
      <c r="A6" t="s">
        <v>33</v>
      </c>
      <c r="B6" s="1">
        <v>46034</v>
      </c>
      <c r="C6" t="str">
        <f>TEXT(B6,"dddd")</f>
        <v>mandag</v>
      </c>
      <c r="D6">
        <v>1</v>
      </c>
      <c r="E6">
        <f>VLOOKUP(A6,formler!$G$3:$H$5,2,FALSE)</f>
        <v>1000</v>
      </c>
      <c r="F6">
        <f t="shared" si="1"/>
        <v>1000</v>
      </c>
    </row>
    <row r="7" spans="1:12" x14ac:dyDescent="0.2">
      <c r="A7" t="s">
        <v>32</v>
      </c>
      <c r="B7" s="1">
        <v>46035</v>
      </c>
      <c r="C7" t="str">
        <f t="shared" ref="C7:C103" si="2">TEXT(B7,"dddd")</f>
        <v>tirsdag</v>
      </c>
      <c r="D7">
        <v>1.5</v>
      </c>
      <c r="E7">
        <f>VLOOKUP(A7,formler!$G$3:$H$5,2,FALSE)</f>
        <v>773</v>
      </c>
      <c r="F7">
        <f t="shared" si="1"/>
        <v>1159.5</v>
      </c>
    </row>
    <row r="8" spans="1:12" x14ac:dyDescent="0.2">
      <c r="A8" t="s">
        <v>34</v>
      </c>
      <c r="B8" s="1">
        <v>46037</v>
      </c>
      <c r="C8" t="str">
        <f t="shared" si="2"/>
        <v>torsdag</v>
      </c>
      <c r="D8">
        <v>1</v>
      </c>
      <c r="E8">
        <f>VLOOKUP(A8,formler!$G$3:$H$5,2,FALSE)</f>
        <v>1000</v>
      </c>
      <c r="F8">
        <f t="shared" si="1"/>
        <v>1000</v>
      </c>
    </row>
    <row r="9" spans="1:12" x14ac:dyDescent="0.2">
      <c r="A9" t="s">
        <v>32</v>
      </c>
      <c r="B9" s="1">
        <v>46037</v>
      </c>
      <c r="C9" t="str">
        <f t="shared" si="2"/>
        <v>torsdag</v>
      </c>
      <c r="D9">
        <v>1</v>
      </c>
      <c r="E9">
        <f>VLOOKUP(A9,formler!$G$3:$H$5,2,FALSE)</f>
        <v>773</v>
      </c>
      <c r="F9">
        <f t="shared" si="1"/>
        <v>773</v>
      </c>
    </row>
    <row r="10" spans="1:12" x14ac:dyDescent="0.2">
      <c r="A10" t="s">
        <v>33</v>
      </c>
      <c r="B10" s="1">
        <v>46041</v>
      </c>
      <c r="C10" t="str">
        <f t="shared" si="2"/>
        <v>mandag</v>
      </c>
      <c r="D10">
        <v>1</v>
      </c>
      <c r="E10">
        <f>VLOOKUP(A10,formler!$G$3:$H$5,2,FALSE)</f>
        <v>1000</v>
      </c>
      <c r="F10">
        <f t="shared" si="1"/>
        <v>1000</v>
      </c>
    </row>
    <row r="11" spans="1:12" x14ac:dyDescent="0.2">
      <c r="A11" t="s">
        <v>32</v>
      </c>
      <c r="B11" s="1">
        <v>46042</v>
      </c>
      <c r="C11" t="str">
        <f t="shared" si="2"/>
        <v>tirsdag</v>
      </c>
      <c r="D11">
        <v>2.5</v>
      </c>
      <c r="E11">
        <f>VLOOKUP(A11,formler!$G$3:$H$5,2,FALSE)</f>
        <v>773</v>
      </c>
      <c r="F11">
        <f t="shared" si="1"/>
        <v>1932.5</v>
      </c>
    </row>
    <row r="12" spans="1:12" x14ac:dyDescent="0.2">
      <c r="A12" t="s">
        <v>34</v>
      </c>
      <c r="B12" s="1">
        <v>46044</v>
      </c>
      <c r="C12" t="str">
        <f t="shared" si="2"/>
        <v>torsdag</v>
      </c>
      <c r="D12">
        <v>1</v>
      </c>
      <c r="E12">
        <f>VLOOKUP(A12,formler!$G$3:$H$5,2,FALSE)</f>
        <v>1000</v>
      </c>
      <c r="F12">
        <f t="shared" si="1"/>
        <v>1000</v>
      </c>
    </row>
    <row r="13" spans="1:12" x14ac:dyDescent="0.2">
      <c r="A13" t="s">
        <v>32</v>
      </c>
      <c r="B13" s="1">
        <v>46044</v>
      </c>
      <c r="C13" t="str">
        <f t="shared" si="2"/>
        <v>torsdag</v>
      </c>
      <c r="D13">
        <v>1</v>
      </c>
      <c r="E13">
        <f>VLOOKUP(A13,formler!$G$3:$H$5,2,FALSE)</f>
        <v>773</v>
      </c>
      <c r="F13">
        <f t="shared" si="1"/>
        <v>773</v>
      </c>
    </row>
    <row r="14" spans="1:12" x14ac:dyDescent="0.2">
      <c r="A14" t="s">
        <v>33</v>
      </c>
      <c r="B14" s="1">
        <v>46048</v>
      </c>
      <c r="C14" t="str">
        <f t="shared" si="2"/>
        <v>mandag</v>
      </c>
      <c r="D14">
        <v>1</v>
      </c>
      <c r="E14">
        <f>VLOOKUP(A14,formler!$G$3:$H$5,2,FALSE)</f>
        <v>1000</v>
      </c>
      <c r="F14">
        <f t="shared" si="1"/>
        <v>1000</v>
      </c>
    </row>
    <row r="15" spans="1:12" x14ac:dyDescent="0.2">
      <c r="A15" t="s">
        <v>32</v>
      </c>
      <c r="B15" s="1">
        <v>46049</v>
      </c>
      <c r="C15" t="str">
        <f t="shared" si="2"/>
        <v>tirsdag</v>
      </c>
      <c r="D15">
        <v>1.5</v>
      </c>
      <c r="E15">
        <f>VLOOKUP(A15,formler!$G$3:$H$5,2,FALSE)</f>
        <v>773</v>
      </c>
      <c r="F15">
        <f t="shared" si="1"/>
        <v>1159.5</v>
      </c>
      <c r="I15" t="s">
        <v>33</v>
      </c>
      <c r="J15">
        <f ca="1">SUMIF(A2:F17,I15,F2:F17)</f>
        <v>4000</v>
      </c>
      <c r="K15" t="s">
        <v>44</v>
      </c>
      <c r="L15" s="1">
        <v>46059</v>
      </c>
    </row>
    <row r="16" spans="1:12" x14ac:dyDescent="0.2">
      <c r="A16" t="s">
        <v>34</v>
      </c>
      <c r="B16" s="1">
        <v>46051</v>
      </c>
      <c r="C16" t="str">
        <f t="shared" si="2"/>
        <v>torsdag</v>
      </c>
      <c r="D16">
        <v>1</v>
      </c>
      <c r="E16">
        <f>VLOOKUP(A16,formler!$G$3:$H$5,2,FALSE)</f>
        <v>1000</v>
      </c>
      <c r="F16">
        <f t="shared" si="1"/>
        <v>1000</v>
      </c>
      <c r="I16" t="s">
        <v>32</v>
      </c>
      <c r="J16">
        <f ca="1">SUMIF(A2:F17,I16,F2:F17)</f>
        <v>8503</v>
      </c>
      <c r="K16" s="1">
        <v>46043</v>
      </c>
      <c r="L16" s="1">
        <v>46044</v>
      </c>
    </row>
    <row r="17" spans="1:12" ht="15.75" thickBot="1" x14ac:dyDescent="0.25">
      <c r="A17" s="3" t="s">
        <v>32</v>
      </c>
      <c r="B17" s="2">
        <v>46051</v>
      </c>
      <c r="C17" s="3" t="str">
        <f t="shared" si="2"/>
        <v>torsdag</v>
      </c>
      <c r="D17" s="3">
        <v>1</v>
      </c>
      <c r="E17" s="3">
        <f>VLOOKUP(A17,formler!$G$3:$H$5,2,FALSE)</f>
        <v>773</v>
      </c>
      <c r="F17" s="3">
        <f t="shared" si="1"/>
        <v>773</v>
      </c>
      <c r="G17" s="3"/>
      <c r="H17" s="11">
        <f>SUM(F2:F17)</f>
        <v>16503</v>
      </c>
      <c r="I17" s="3" t="s">
        <v>34</v>
      </c>
      <c r="J17" s="3">
        <f ca="1">SUMIF(A2:F17,I17,F2:F17)</f>
        <v>4000</v>
      </c>
      <c r="K17" s="1">
        <v>46051</v>
      </c>
      <c r="L17" s="1">
        <v>46071</v>
      </c>
    </row>
    <row r="18" spans="1:12" x14ac:dyDescent="0.2">
      <c r="A18" s="7" t="s">
        <v>33</v>
      </c>
      <c r="B18" s="6">
        <v>46055</v>
      </c>
      <c r="C18" s="7" t="str">
        <f t="shared" si="2"/>
        <v>mandag</v>
      </c>
      <c r="D18" s="7">
        <v>0</v>
      </c>
      <c r="E18" s="7">
        <f>VLOOKUP(A18,formler!$G$3:$H$5,2,FALSE)</f>
        <v>1000</v>
      </c>
      <c r="F18" s="7">
        <f t="shared" si="1"/>
        <v>0</v>
      </c>
      <c r="G18" s="5" t="s">
        <v>21</v>
      </c>
      <c r="H18" s="7" t="s">
        <v>22</v>
      </c>
    </row>
    <row r="19" spans="1:12" x14ac:dyDescent="0.2">
      <c r="A19" s="7" t="s">
        <v>32</v>
      </c>
      <c r="B19" s="6">
        <v>46056</v>
      </c>
      <c r="C19" s="7" t="str">
        <f t="shared" si="2"/>
        <v>tirsdag</v>
      </c>
      <c r="D19" s="7">
        <v>0</v>
      </c>
      <c r="E19" s="7">
        <f>VLOOKUP(A19,formler!$G$3:$H$5,2,FALSE)</f>
        <v>773</v>
      </c>
      <c r="F19" s="7">
        <f t="shared" si="1"/>
        <v>0</v>
      </c>
      <c r="G19" s="5" t="s">
        <v>21</v>
      </c>
      <c r="H19" s="7" t="s">
        <v>22</v>
      </c>
    </row>
    <row r="20" spans="1:12" x14ac:dyDescent="0.2">
      <c r="A20" s="7" t="s">
        <v>34</v>
      </c>
      <c r="B20" s="6">
        <v>46058</v>
      </c>
      <c r="C20" s="7" t="str">
        <f t="shared" si="2"/>
        <v>torsdag</v>
      </c>
      <c r="D20" s="7">
        <v>0</v>
      </c>
      <c r="E20" s="7">
        <f>VLOOKUP(A20,formler!$G$3:$H$5,2,FALSE)</f>
        <v>1000</v>
      </c>
      <c r="F20" s="7">
        <f t="shared" si="1"/>
        <v>0</v>
      </c>
      <c r="G20" s="5" t="s">
        <v>21</v>
      </c>
      <c r="H20" s="7" t="s">
        <v>22</v>
      </c>
    </row>
    <row r="21" spans="1:12" x14ac:dyDescent="0.2">
      <c r="A21" s="7" t="s">
        <v>32</v>
      </c>
      <c r="B21" s="6">
        <v>46058</v>
      </c>
      <c r="C21" s="7" t="str">
        <f t="shared" si="2"/>
        <v>torsdag</v>
      </c>
      <c r="D21" s="7">
        <v>0</v>
      </c>
      <c r="E21" s="7">
        <f>VLOOKUP(A21,formler!$G$3:$H$5,2,FALSE)</f>
        <v>773</v>
      </c>
      <c r="F21" s="7">
        <f t="shared" si="1"/>
        <v>0</v>
      </c>
      <c r="G21" s="5" t="s">
        <v>21</v>
      </c>
      <c r="H21" s="7" t="s">
        <v>22</v>
      </c>
    </row>
    <row r="22" spans="1:12" x14ac:dyDescent="0.2">
      <c r="A22" s="7" t="s">
        <v>33</v>
      </c>
      <c r="B22" s="6">
        <v>46062</v>
      </c>
      <c r="C22" s="7" t="str">
        <f t="shared" si="2"/>
        <v>mandag</v>
      </c>
      <c r="D22" s="7">
        <v>0</v>
      </c>
      <c r="E22" s="7">
        <f>VLOOKUP(A22,formler!$G$3:$H$5,2,FALSE)</f>
        <v>1000</v>
      </c>
      <c r="F22" s="7">
        <f t="shared" si="1"/>
        <v>0</v>
      </c>
      <c r="G22" s="5" t="s">
        <v>21</v>
      </c>
      <c r="H22" s="7" t="s">
        <v>22</v>
      </c>
    </row>
    <row r="23" spans="1:12" x14ac:dyDescent="0.2">
      <c r="A23" s="7" t="s">
        <v>32</v>
      </c>
      <c r="B23" s="6">
        <v>46063</v>
      </c>
      <c r="C23" s="7" t="str">
        <f t="shared" si="2"/>
        <v>tirsdag</v>
      </c>
      <c r="D23" s="7">
        <v>0</v>
      </c>
      <c r="E23" s="7">
        <f>VLOOKUP(A23,formler!$G$3:$H$5,2,FALSE)</f>
        <v>773</v>
      </c>
      <c r="F23" s="7">
        <f t="shared" si="1"/>
        <v>0</v>
      </c>
      <c r="G23" s="5" t="s">
        <v>21</v>
      </c>
      <c r="H23" s="7" t="s">
        <v>22</v>
      </c>
    </row>
    <row r="24" spans="1:12" x14ac:dyDescent="0.2">
      <c r="A24" t="s">
        <v>34</v>
      </c>
      <c r="B24" s="1">
        <v>46065</v>
      </c>
      <c r="C24" t="str">
        <f t="shared" si="2"/>
        <v>torsdag</v>
      </c>
      <c r="D24">
        <v>1</v>
      </c>
      <c r="E24">
        <f>VLOOKUP(A24,formler!$G$3:$H$5,2,FALSE)</f>
        <v>1000</v>
      </c>
      <c r="F24">
        <f t="shared" si="1"/>
        <v>1000</v>
      </c>
      <c r="G24" s="5"/>
    </row>
    <row r="25" spans="1:12" x14ac:dyDescent="0.2">
      <c r="A25" t="s">
        <v>32</v>
      </c>
      <c r="B25" s="1">
        <v>46065</v>
      </c>
      <c r="C25" t="str">
        <f t="shared" si="2"/>
        <v>torsdag</v>
      </c>
      <c r="D25">
        <v>1</v>
      </c>
      <c r="E25">
        <f>VLOOKUP(A25,formler!$G$3:$H$5,2,FALSE)</f>
        <v>773</v>
      </c>
      <c r="F25">
        <f t="shared" si="1"/>
        <v>773</v>
      </c>
    </row>
    <row r="26" spans="1:12" x14ac:dyDescent="0.2">
      <c r="A26" t="s">
        <v>33</v>
      </c>
      <c r="B26" s="1">
        <v>46069</v>
      </c>
      <c r="C26" t="str">
        <f t="shared" si="2"/>
        <v>mandag</v>
      </c>
      <c r="D26">
        <v>1</v>
      </c>
      <c r="E26">
        <f>VLOOKUP(A26,formler!$G$3:$H$5,2,FALSE)</f>
        <v>1000</v>
      </c>
      <c r="F26">
        <f t="shared" si="1"/>
        <v>1000</v>
      </c>
    </row>
    <row r="27" spans="1:12" x14ac:dyDescent="0.2">
      <c r="A27" t="s">
        <v>32</v>
      </c>
      <c r="B27" s="1">
        <v>46070</v>
      </c>
      <c r="C27" t="str">
        <f t="shared" si="2"/>
        <v>tirsdag</v>
      </c>
      <c r="D27">
        <v>2.5</v>
      </c>
      <c r="E27">
        <f>VLOOKUP(A27,formler!$G$3:$H$5,2,FALSE)</f>
        <v>773</v>
      </c>
      <c r="F27">
        <f t="shared" si="1"/>
        <v>1932.5</v>
      </c>
    </row>
    <row r="28" spans="1:12" x14ac:dyDescent="0.2">
      <c r="A28" t="s">
        <v>34</v>
      </c>
      <c r="B28" s="1">
        <v>46072</v>
      </c>
      <c r="C28" t="str">
        <f t="shared" si="2"/>
        <v>torsdag</v>
      </c>
      <c r="D28">
        <v>1</v>
      </c>
      <c r="E28">
        <f>VLOOKUP(A28,formler!$G$3:$H$5,2,FALSE)</f>
        <v>1000</v>
      </c>
      <c r="F28">
        <f t="shared" si="1"/>
        <v>1000</v>
      </c>
    </row>
    <row r="29" spans="1:12" x14ac:dyDescent="0.2">
      <c r="A29" t="s">
        <v>32</v>
      </c>
      <c r="B29" s="1">
        <v>46072</v>
      </c>
      <c r="C29" t="str">
        <f t="shared" si="2"/>
        <v>torsdag</v>
      </c>
      <c r="D29">
        <v>1</v>
      </c>
      <c r="E29">
        <f>VLOOKUP(A29,formler!$G$3:$H$5,2,FALSE)</f>
        <v>773</v>
      </c>
      <c r="F29">
        <f t="shared" si="1"/>
        <v>773</v>
      </c>
    </row>
    <row r="30" spans="1:12" x14ac:dyDescent="0.2">
      <c r="A30" t="s">
        <v>33</v>
      </c>
      <c r="B30" s="1">
        <v>46076</v>
      </c>
      <c r="C30" t="str">
        <f t="shared" si="2"/>
        <v>mandag</v>
      </c>
      <c r="D30">
        <v>1</v>
      </c>
      <c r="E30">
        <f>VLOOKUP(A30,formler!$G$3:$H$5,2,FALSE)</f>
        <v>1000</v>
      </c>
      <c r="F30">
        <f t="shared" si="1"/>
        <v>1000</v>
      </c>
    </row>
    <row r="31" spans="1:12" x14ac:dyDescent="0.2">
      <c r="A31" t="s">
        <v>32</v>
      </c>
      <c r="B31" s="1">
        <v>46077</v>
      </c>
      <c r="C31" t="str">
        <f t="shared" si="2"/>
        <v>tirsdag</v>
      </c>
      <c r="D31">
        <v>1.5</v>
      </c>
      <c r="E31">
        <f>VLOOKUP(A31,formler!$G$3:$H$5,2,FALSE)</f>
        <v>773</v>
      </c>
      <c r="F31">
        <f t="shared" si="1"/>
        <v>1159.5</v>
      </c>
      <c r="I31" t="s">
        <v>33</v>
      </c>
      <c r="J31">
        <f ca="1">SUMIF(A18:F33,I31,F18:F33)</f>
        <v>2000</v>
      </c>
      <c r="K31" s="1">
        <v>46073</v>
      </c>
      <c r="L31" s="1">
        <v>45694</v>
      </c>
    </row>
    <row r="32" spans="1:12" x14ac:dyDescent="0.2">
      <c r="A32" t="s">
        <v>34</v>
      </c>
      <c r="B32" s="1">
        <v>46079</v>
      </c>
      <c r="C32" t="str">
        <f t="shared" si="2"/>
        <v>torsdag</v>
      </c>
      <c r="D32">
        <v>1</v>
      </c>
      <c r="E32">
        <f>VLOOKUP(A32,formler!$G$3:$H$5,2,FALSE)</f>
        <v>1000</v>
      </c>
      <c r="F32">
        <f t="shared" si="1"/>
        <v>1000</v>
      </c>
      <c r="I32" t="s">
        <v>32</v>
      </c>
      <c r="J32">
        <f ca="1">SUMIF(A18:F33,I32,F18:F33)</f>
        <v>5411</v>
      </c>
      <c r="K32" s="1">
        <v>46073</v>
      </c>
      <c r="L32" s="1">
        <v>46076</v>
      </c>
    </row>
    <row r="33" spans="1:13" ht="15.75" thickBot="1" x14ac:dyDescent="0.25">
      <c r="A33" s="3" t="s">
        <v>32</v>
      </c>
      <c r="B33" s="2">
        <v>46079</v>
      </c>
      <c r="C33" s="3" t="str">
        <f t="shared" si="2"/>
        <v>torsdag</v>
      </c>
      <c r="D33" s="3">
        <v>1</v>
      </c>
      <c r="E33" s="3">
        <f>VLOOKUP(A33,formler!$G$3:$H$5,2,FALSE)</f>
        <v>773</v>
      </c>
      <c r="F33" s="3">
        <f t="shared" si="1"/>
        <v>773</v>
      </c>
      <c r="G33" s="3"/>
      <c r="H33" s="11">
        <f>SUM(F18:F33)</f>
        <v>10411</v>
      </c>
      <c r="I33" s="3" t="s">
        <v>34</v>
      </c>
      <c r="J33" s="3">
        <f ca="1">SUMIF(A18:F33,I33,F18:F33)</f>
        <v>3000</v>
      </c>
      <c r="K33" s="1">
        <v>46079</v>
      </c>
      <c r="L33" s="1">
        <v>46066</v>
      </c>
    </row>
    <row r="34" spans="1:13" x14ac:dyDescent="0.2">
      <c r="A34" t="s">
        <v>33</v>
      </c>
      <c r="B34" s="1">
        <v>46083</v>
      </c>
      <c r="C34" t="str">
        <f t="shared" si="2"/>
        <v>mandag</v>
      </c>
      <c r="D34">
        <v>1</v>
      </c>
      <c r="E34">
        <f>VLOOKUP(A34,formler!$G$3:$H$5,2,FALSE)</f>
        <v>1000</v>
      </c>
      <c r="F34">
        <f t="shared" si="1"/>
        <v>1000</v>
      </c>
    </row>
    <row r="35" spans="1:13" x14ac:dyDescent="0.2">
      <c r="A35" t="s">
        <v>32</v>
      </c>
      <c r="B35" s="1">
        <v>46084</v>
      </c>
      <c r="C35" t="str">
        <f t="shared" si="2"/>
        <v>tirsdag</v>
      </c>
      <c r="D35">
        <v>1.5</v>
      </c>
      <c r="E35">
        <f>VLOOKUP(A35,formler!$G$3:$H$5,2,FALSE)</f>
        <v>773</v>
      </c>
      <c r="F35">
        <f t="shared" si="1"/>
        <v>1159.5</v>
      </c>
    </row>
    <row r="36" spans="1:13" x14ac:dyDescent="0.2">
      <c r="A36" t="s">
        <v>34</v>
      </c>
      <c r="B36" s="1">
        <v>46086</v>
      </c>
      <c r="C36" t="str">
        <f t="shared" si="2"/>
        <v>torsdag</v>
      </c>
      <c r="D36">
        <v>1</v>
      </c>
      <c r="E36">
        <f>VLOOKUP(A36,formler!$G$3:$H$5,2,FALSE)</f>
        <v>1000</v>
      </c>
      <c r="F36">
        <f t="shared" si="1"/>
        <v>1000</v>
      </c>
    </row>
    <row r="37" spans="1:13" x14ac:dyDescent="0.2">
      <c r="A37" t="s">
        <v>32</v>
      </c>
      <c r="B37" s="1">
        <v>46086</v>
      </c>
      <c r="C37" t="str">
        <f t="shared" si="2"/>
        <v>torsdag</v>
      </c>
      <c r="D37">
        <v>1</v>
      </c>
      <c r="E37">
        <f>VLOOKUP(A37,formler!$G$3:$H$5,2,FALSE)</f>
        <v>773</v>
      </c>
      <c r="F37">
        <f t="shared" si="1"/>
        <v>773</v>
      </c>
    </row>
    <row r="38" spans="1:13" x14ac:dyDescent="0.2">
      <c r="A38" t="s">
        <v>33</v>
      </c>
      <c r="B38" s="1">
        <v>46090</v>
      </c>
      <c r="C38" t="str">
        <f t="shared" si="2"/>
        <v>mandag</v>
      </c>
      <c r="D38">
        <v>1</v>
      </c>
      <c r="E38">
        <f>VLOOKUP(A38,formler!$G$3:$H$5,2,FALSE)</f>
        <v>1000</v>
      </c>
      <c r="F38">
        <f t="shared" si="1"/>
        <v>1000</v>
      </c>
    </row>
    <row r="39" spans="1:13" x14ac:dyDescent="0.2">
      <c r="A39" t="s">
        <v>32</v>
      </c>
      <c r="B39" s="1">
        <v>46091</v>
      </c>
      <c r="C39" t="str">
        <f t="shared" si="2"/>
        <v>tirsdag</v>
      </c>
      <c r="D39">
        <v>2.5</v>
      </c>
      <c r="E39">
        <f>VLOOKUP(A39,formler!$G$3:$H$5,2,FALSE)</f>
        <v>773</v>
      </c>
      <c r="F39">
        <f t="shared" si="1"/>
        <v>1932.5</v>
      </c>
    </row>
    <row r="40" spans="1:13" x14ac:dyDescent="0.2">
      <c r="A40" t="s">
        <v>34</v>
      </c>
      <c r="B40" s="1">
        <v>46093</v>
      </c>
      <c r="C40" t="str">
        <f t="shared" si="2"/>
        <v>torsdag</v>
      </c>
      <c r="D40">
        <v>1</v>
      </c>
      <c r="E40">
        <f>VLOOKUP(A40,formler!$G$3:$H$5,2,FALSE)</f>
        <v>1000</v>
      </c>
      <c r="F40">
        <f t="shared" si="1"/>
        <v>1000</v>
      </c>
    </row>
    <row r="41" spans="1:13" x14ac:dyDescent="0.2">
      <c r="A41" t="s">
        <v>32</v>
      </c>
      <c r="B41" s="1">
        <v>46093</v>
      </c>
      <c r="C41" t="str">
        <f t="shared" si="2"/>
        <v>torsdag</v>
      </c>
      <c r="D41">
        <v>1</v>
      </c>
      <c r="E41">
        <f>VLOOKUP(A41,formler!$G$3:$H$5,2,FALSE)</f>
        <v>773</v>
      </c>
      <c r="F41">
        <f t="shared" si="1"/>
        <v>773</v>
      </c>
    </row>
    <row r="42" spans="1:13" x14ac:dyDescent="0.2">
      <c r="A42" t="s">
        <v>33</v>
      </c>
      <c r="B42" s="1">
        <v>46097</v>
      </c>
      <c r="C42" t="str">
        <f t="shared" si="2"/>
        <v>mandag</v>
      </c>
      <c r="D42">
        <v>1</v>
      </c>
      <c r="E42">
        <f>VLOOKUP(A42,formler!$G$3:$H$5,2,FALSE)</f>
        <v>1000</v>
      </c>
      <c r="F42">
        <f t="shared" si="1"/>
        <v>1000</v>
      </c>
      <c r="L42" s="12">
        <v>11625</v>
      </c>
      <c r="M42" s="5" t="s">
        <v>36</v>
      </c>
    </row>
    <row r="43" spans="1:13" x14ac:dyDescent="0.2">
      <c r="A43" t="s">
        <v>32</v>
      </c>
      <c r="B43" s="1">
        <v>46098</v>
      </c>
      <c r="C43" t="str">
        <f t="shared" si="2"/>
        <v>tirsdag</v>
      </c>
      <c r="D43">
        <v>1.5</v>
      </c>
      <c r="E43">
        <f>VLOOKUP(A43,formler!$G$3:$H$5,2,FALSE)</f>
        <v>773</v>
      </c>
      <c r="F43">
        <f t="shared" si="1"/>
        <v>1159.5</v>
      </c>
    </row>
    <row r="44" spans="1:13" x14ac:dyDescent="0.2">
      <c r="A44" t="s">
        <v>34</v>
      </c>
      <c r="B44" s="1">
        <v>46100</v>
      </c>
      <c r="C44" t="str">
        <f t="shared" si="2"/>
        <v>torsdag</v>
      </c>
      <c r="D44">
        <v>1</v>
      </c>
      <c r="E44">
        <f>VLOOKUP(A44,formler!$G$3:$H$5,2,FALSE)</f>
        <v>1000</v>
      </c>
      <c r="F44">
        <f t="shared" si="1"/>
        <v>1000</v>
      </c>
    </row>
    <row r="45" spans="1:13" x14ac:dyDescent="0.2">
      <c r="A45" t="s">
        <v>32</v>
      </c>
      <c r="B45" s="1">
        <v>46100</v>
      </c>
      <c r="C45" t="str">
        <f t="shared" si="2"/>
        <v>torsdag</v>
      </c>
      <c r="D45">
        <v>1</v>
      </c>
      <c r="E45">
        <f>VLOOKUP(A45,formler!$G$3:$H$5,2,FALSE)</f>
        <v>773</v>
      </c>
      <c r="F45">
        <f t="shared" si="1"/>
        <v>773</v>
      </c>
    </row>
    <row r="46" spans="1:13" x14ac:dyDescent="0.2">
      <c r="A46" t="s">
        <v>33</v>
      </c>
      <c r="B46" s="1">
        <v>46104</v>
      </c>
      <c r="C46" t="str">
        <f t="shared" si="2"/>
        <v>mandag</v>
      </c>
      <c r="D46">
        <v>1</v>
      </c>
      <c r="E46">
        <f>VLOOKUP(A46,formler!$G$3:$H$5,2,FALSE)</f>
        <v>1000</v>
      </c>
      <c r="F46">
        <f t="shared" si="1"/>
        <v>1000</v>
      </c>
    </row>
    <row r="47" spans="1:13" x14ac:dyDescent="0.2">
      <c r="A47" t="s">
        <v>32</v>
      </c>
      <c r="B47" s="1">
        <v>46105</v>
      </c>
      <c r="C47" t="str">
        <f t="shared" si="2"/>
        <v>tirsdag</v>
      </c>
      <c r="D47">
        <v>1.5</v>
      </c>
      <c r="E47">
        <f>VLOOKUP(A47,formler!$G$3:$H$5,2,FALSE)</f>
        <v>773</v>
      </c>
      <c r="F47">
        <f t="shared" si="1"/>
        <v>1159.5</v>
      </c>
    </row>
    <row r="48" spans="1:13" x14ac:dyDescent="0.2">
      <c r="A48" t="s">
        <v>34</v>
      </c>
      <c r="B48" s="1">
        <v>46107</v>
      </c>
      <c r="C48" t="str">
        <f t="shared" si="2"/>
        <v>torsdag</v>
      </c>
      <c r="D48">
        <v>1</v>
      </c>
      <c r="E48">
        <f>VLOOKUP(A48,formler!$G$3:$H$5,2,FALSE)</f>
        <v>1000</v>
      </c>
      <c r="F48">
        <f t="shared" si="1"/>
        <v>1000</v>
      </c>
    </row>
    <row r="49" spans="1:12" x14ac:dyDescent="0.2">
      <c r="A49" t="s">
        <v>32</v>
      </c>
      <c r="B49" s="1">
        <v>46107</v>
      </c>
      <c r="C49" t="str">
        <f t="shared" si="2"/>
        <v>torsdag</v>
      </c>
      <c r="D49">
        <v>1</v>
      </c>
      <c r="E49">
        <f>VLOOKUP(A49,formler!$G$3:$H$5,2,FALSE)</f>
        <v>773</v>
      </c>
      <c r="F49">
        <f t="shared" si="1"/>
        <v>773</v>
      </c>
      <c r="I49" t="s">
        <v>33</v>
      </c>
      <c r="J49">
        <f ca="1">SUMIF(A34:F51,I49,F34:F51)</f>
        <v>4000</v>
      </c>
      <c r="K49" s="1">
        <v>46101</v>
      </c>
    </row>
    <row r="50" spans="1:12" x14ac:dyDescent="0.2">
      <c r="A50" s="7" t="s">
        <v>33</v>
      </c>
      <c r="B50" s="6">
        <v>46111</v>
      </c>
      <c r="C50" s="7" t="str">
        <f t="shared" si="2"/>
        <v>mandag</v>
      </c>
      <c r="D50" s="7">
        <v>0</v>
      </c>
      <c r="E50" s="7">
        <f>VLOOKUP(A50,formler!$G$3:$H$5,2,FALSE)</f>
        <v>1000</v>
      </c>
      <c r="F50" s="7">
        <f t="shared" si="1"/>
        <v>0</v>
      </c>
      <c r="G50" s="7" t="s">
        <v>17</v>
      </c>
      <c r="I50" t="s">
        <v>32</v>
      </c>
      <c r="J50">
        <f ca="1">SUMIF(A34:F51,I50,F34:F51)</f>
        <v>8503</v>
      </c>
      <c r="K50" s="1">
        <v>46101</v>
      </c>
      <c r="L50" s="1">
        <v>46104</v>
      </c>
    </row>
    <row r="51" spans="1:12" ht="15.75" thickBot="1" x14ac:dyDescent="0.25">
      <c r="A51" s="10" t="s">
        <v>32</v>
      </c>
      <c r="B51" s="9">
        <v>46112</v>
      </c>
      <c r="C51" s="10" t="str">
        <f t="shared" si="2"/>
        <v>tirsdag</v>
      </c>
      <c r="D51" s="10">
        <v>0</v>
      </c>
      <c r="E51" s="10">
        <f>VLOOKUP(A51,formler!$G$3:$H$5,2,FALSE)</f>
        <v>773</v>
      </c>
      <c r="F51" s="10">
        <f t="shared" si="1"/>
        <v>0</v>
      </c>
      <c r="G51" s="10" t="s">
        <v>17</v>
      </c>
      <c r="H51" s="11">
        <f>SUM(F34:F51)</f>
        <v>16503</v>
      </c>
      <c r="I51" s="3" t="s">
        <v>34</v>
      </c>
      <c r="J51" s="3">
        <f ca="1">SUMIF(A34:F51,I51,F34:F51)</f>
        <v>4000</v>
      </c>
      <c r="K51" s="1">
        <v>46107</v>
      </c>
    </row>
    <row r="52" spans="1:12" x14ac:dyDescent="0.2">
      <c r="A52" s="7" t="s">
        <v>34</v>
      </c>
      <c r="B52" s="6">
        <v>46114</v>
      </c>
      <c r="C52" s="7" t="str">
        <f t="shared" si="2"/>
        <v>torsdag</v>
      </c>
      <c r="D52" s="7">
        <v>0</v>
      </c>
      <c r="E52" s="7">
        <f>VLOOKUP(A52,formler!$G$3:$H$5,2,FALSE)</f>
        <v>1000</v>
      </c>
      <c r="F52" s="7">
        <f t="shared" si="1"/>
        <v>0</v>
      </c>
      <c r="G52" s="7" t="s">
        <v>17</v>
      </c>
    </row>
    <row r="53" spans="1:12" x14ac:dyDescent="0.2">
      <c r="A53" s="7" t="s">
        <v>32</v>
      </c>
      <c r="B53" s="6">
        <v>46114</v>
      </c>
      <c r="C53" s="7" t="str">
        <f t="shared" si="2"/>
        <v>torsdag</v>
      </c>
      <c r="D53" s="7">
        <v>0</v>
      </c>
      <c r="E53" s="7">
        <f>VLOOKUP(A53,formler!$G$3:$H$5,2,FALSE)</f>
        <v>773</v>
      </c>
      <c r="F53" s="7">
        <f t="shared" ref="F53:F69" si="3">D53*E53</f>
        <v>0</v>
      </c>
      <c r="G53" s="7" t="s">
        <v>17</v>
      </c>
    </row>
    <row r="54" spans="1:12" x14ac:dyDescent="0.2">
      <c r="A54" s="7" t="s">
        <v>33</v>
      </c>
      <c r="B54" s="6">
        <v>46118</v>
      </c>
      <c r="C54" s="7" t="str">
        <f t="shared" si="2"/>
        <v>mandag</v>
      </c>
      <c r="D54" s="7">
        <v>0</v>
      </c>
      <c r="E54" s="7">
        <f>VLOOKUP(A54,formler!$G$3:$H$5,2,FALSE)</f>
        <v>1000</v>
      </c>
      <c r="F54" s="7">
        <f t="shared" si="3"/>
        <v>0</v>
      </c>
      <c r="G54" s="7" t="s">
        <v>17</v>
      </c>
    </row>
    <row r="55" spans="1:12" x14ac:dyDescent="0.2">
      <c r="A55" t="s">
        <v>32</v>
      </c>
      <c r="B55" s="1">
        <v>46119</v>
      </c>
      <c r="C55" t="str">
        <f t="shared" si="2"/>
        <v>tirsdag</v>
      </c>
      <c r="D55">
        <v>2.5</v>
      </c>
      <c r="E55">
        <f>VLOOKUP(A55,formler!$G$3:$H$5,2,FALSE)</f>
        <v>773</v>
      </c>
      <c r="F55">
        <f t="shared" si="3"/>
        <v>1932.5</v>
      </c>
    </row>
    <row r="56" spans="1:12" x14ac:dyDescent="0.2">
      <c r="A56" t="s">
        <v>34</v>
      </c>
      <c r="B56" s="1">
        <v>46121</v>
      </c>
      <c r="C56" t="str">
        <f t="shared" si="2"/>
        <v>torsdag</v>
      </c>
      <c r="D56">
        <v>1</v>
      </c>
      <c r="E56">
        <f>VLOOKUP(A56,formler!$G$3:$H$5,2,FALSE)</f>
        <v>1000</v>
      </c>
      <c r="F56">
        <f t="shared" si="3"/>
        <v>1000</v>
      </c>
    </row>
    <row r="57" spans="1:12" x14ac:dyDescent="0.2">
      <c r="A57" t="s">
        <v>32</v>
      </c>
      <c r="B57" s="1">
        <v>46121</v>
      </c>
      <c r="C57" t="str">
        <f t="shared" si="2"/>
        <v>torsdag</v>
      </c>
      <c r="D57">
        <v>1</v>
      </c>
      <c r="E57">
        <f>VLOOKUP(A57,formler!$G$3:$H$5,2,FALSE)</f>
        <v>773</v>
      </c>
      <c r="F57">
        <f t="shared" si="3"/>
        <v>773</v>
      </c>
    </row>
    <row r="58" spans="1:12" x14ac:dyDescent="0.2">
      <c r="A58" t="s">
        <v>33</v>
      </c>
      <c r="B58" s="1">
        <v>46125</v>
      </c>
      <c r="C58" t="str">
        <f t="shared" si="2"/>
        <v>mandag</v>
      </c>
      <c r="D58">
        <v>1</v>
      </c>
      <c r="E58">
        <f>VLOOKUP(A58,formler!$G$3:$H$5,2,FALSE)</f>
        <v>1000</v>
      </c>
      <c r="F58">
        <f t="shared" si="3"/>
        <v>1000</v>
      </c>
    </row>
    <row r="59" spans="1:12" x14ac:dyDescent="0.2">
      <c r="A59" t="s">
        <v>32</v>
      </c>
      <c r="B59" s="1">
        <v>46126</v>
      </c>
      <c r="C59" t="str">
        <f t="shared" si="2"/>
        <v>tirsdag</v>
      </c>
      <c r="D59">
        <v>1.5</v>
      </c>
      <c r="E59">
        <f>VLOOKUP(A59,formler!$G$3:$H$5,2,FALSE)</f>
        <v>773</v>
      </c>
      <c r="F59">
        <f t="shared" si="3"/>
        <v>1159.5</v>
      </c>
    </row>
    <row r="60" spans="1:12" x14ac:dyDescent="0.2">
      <c r="A60" t="s">
        <v>34</v>
      </c>
      <c r="B60" s="1">
        <v>46128</v>
      </c>
      <c r="C60" t="str">
        <f t="shared" si="2"/>
        <v>torsdag</v>
      </c>
      <c r="D60">
        <v>1</v>
      </c>
      <c r="E60">
        <f>VLOOKUP(A60,formler!$G$3:$H$5,2,FALSE)</f>
        <v>1000</v>
      </c>
      <c r="F60">
        <f t="shared" si="3"/>
        <v>1000</v>
      </c>
    </row>
    <row r="61" spans="1:12" x14ac:dyDescent="0.2">
      <c r="A61" t="s">
        <v>32</v>
      </c>
      <c r="B61" s="1">
        <v>46128</v>
      </c>
      <c r="C61" t="str">
        <f t="shared" si="2"/>
        <v>torsdag</v>
      </c>
      <c r="D61">
        <v>1</v>
      </c>
      <c r="E61">
        <f>VLOOKUP(A61,formler!$G$3:$H$5,2,FALSE)</f>
        <v>773</v>
      </c>
      <c r="F61">
        <f t="shared" si="3"/>
        <v>773</v>
      </c>
    </row>
    <row r="62" spans="1:12" x14ac:dyDescent="0.2">
      <c r="A62" t="s">
        <v>33</v>
      </c>
      <c r="B62" s="1">
        <v>46132</v>
      </c>
      <c r="C62" t="str">
        <f t="shared" si="2"/>
        <v>mandag</v>
      </c>
      <c r="D62">
        <v>1</v>
      </c>
      <c r="E62">
        <f>VLOOKUP(A62,formler!$G$3:$H$5,2,FALSE)</f>
        <v>1000</v>
      </c>
      <c r="F62">
        <f t="shared" si="3"/>
        <v>1000</v>
      </c>
    </row>
    <row r="63" spans="1:12" x14ac:dyDescent="0.2">
      <c r="A63" t="s">
        <v>32</v>
      </c>
      <c r="B63" s="1">
        <v>46133</v>
      </c>
      <c r="C63" t="str">
        <f t="shared" si="2"/>
        <v>tirsdag</v>
      </c>
      <c r="D63">
        <v>1.5</v>
      </c>
      <c r="E63">
        <f>VLOOKUP(A63,formler!$G$3:$H$5,2,FALSE)</f>
        <v>773</v>
      </c>
      <c r="F63">
        <f t="shared" si="3"/>
        <v>1159.5</v>
      </c>
    </row>
    <row r="64" spans="1:12" x14ac:dyDescent="0.2">
      <c r="A64" t="s">
        <v>34</v>
      </c>
      <c r="B64" s="1">
        <v>46135</v>
      </c>
      <c r="C64" t="str">
        <f t="shared" si="2"/>
        <v>torsdag</v>
      </c>
      <c r="D64">
        <v>1</v>
      </c>
      <c r="E64">
        <f>VLOOKUP(A64,formler!$G$3:$H$5,2,FALSE)</f>
        <v>1000</v>
      </c>
      <c r="F64">
        <f t="shared" si="3"/>
        <v>1000</v>
      </c>
    </row>
    <row r="65" spans="1:18" x14ac:dyDescent="0.2">
      <c r="A65" t="s">
        <v>32</v>
      </c>
      <c r="B65" s="1">
        <v>46135</v>
      </c>
      <c r="C65" t="str">
        <f t="shared" si="2"/>
        <v>torsdag</v>
      </c>
      <c r="D65">
        <v>1</v>
      </c>
      <c r="E65">
        <f>VLOOKUP(A65,formler!$G$3:$H$5,2,FALSE)</f>
        <v>773</v>
      </c>
      <c r="F65">
        <f t="shared" si="3"/>
        <v>773</v>
      </c>
    </row>
    <row r="66" spans="1:18" x14ac:dyDescent="0.2">
      <c r="A66" t="s">
        <v>33</v>
      </c>
      <c r="B66" s="1">
        <v>46139</v>
      </c>
      <c r="C66" t="str">
        <f t="shared" si="2"/>
        <v>mandag</v>
      </c>
      <c r="D66">
        <v>1</v>
      </c>
      <c r="E66">
        <f>VLOOKUP(A66,formler!$G$3:$H$5,2,FALSE)</f>
        <v>1000</v>
      </c>
      <c r="F66">
        <f t="shared" si="3"/>
        <v>1000</v>
      </c>
    </row>
    <row r="67" spans="1:18" x14ac:dyDescent="0.2">
      <c r="A67" t="s">
        <v>32</v>
      </c>
      <c r="B67" s="1">
        <v>46140</v>
      </c>
      <c r="C67" t="str">
        <f t="shared" si="2"/>
        <v>tirsdag</v>
      </c>
      <c r="D67">
        <v>2.5</v>
      </c>
      <c r="E67">
        <f>VLOOKUP(A67,formler!$G$3:$H$5,2,FALSE)</f>
        <v>773</v>
      </c>
      <c r="F67">
        <f t="shared" si="3"/>
        <v>1932.5</v>
      </c>
      <c r="I67" t="s">
        <v>33</v>
      </c>
      <c r="J67">
        <f ca="1">SUMIF(A52:F69,I67,F52:F69)</f>
        <v>3000</v>
      </c>
      <c r="K67" s="1">
        <v>46132</v>
      </c>
    </row>
    <row r="68" spans="1:18" x14ac:dyDescent="0.2">
      <c r="A68" t="s">
        <v>34</v>
      </c>
      <c r="B68" s="1">
        <v>46142</v>
      </c>
      <c r="C68" t="str">
        <f t="shared" si="2"/>
        <v>torsdag</v>
      </c>
      <c r="D68">
        <v>1</v>
      </c>
      <c r="E68">
        <f>VLOOKUP(A68,formler!$G$3:$H$5,2,FALSE)</f>
        <v>1000</v>
      </c>
      <c r="F68">
        <f t="shared" si="3"/>
        <v>1000</v>
      </c>
      <c r="I68" t="s">
        <v>32</v>
      </c>
      <c r="J68">
        <f ca="1">SUMIF(A52:F69,I68,F52:F69)</f>
        <v>9276</v>
      </c>
      <c r="K68" s="1">
        <v>46132</v>
      </c>
    </row>
    <row r="69" spans="1:18" ht="15.75" thickBot="1" x14ac:dyDescent="0.25">
      <c r="A69" s="3" t="s">
        <v>32</v>
      </c>
      <c r="B69" s="2">
        <v>46142</v>
      </c>
      <c r="C69" s="3" t="str">
        <f t="shared" si="2"/>
        <v>torsdag</v>
      </c>
      <c r="D69" s="3">
        <v>1</v>
      </c>
      <c r="E69" s="3">
        <f>VLOOKUP(A69,formler!$G$3:$H$5,2,FALSE)</f>
        <v>773</v>
      </c>
      <c r="F69" s="3">
        <f t="shared" si="3"/>
        <v>773</v>
      </c>
      <c r="G69" s="3"/>
      <c r="H69" s="11">
        <f>SUM(F52:F69)</f>
        <v>16276</v>
      </c>
      <c r="I69" s="3" t="s">
        <v>34</v>
      </c>
      <c r="J69" s="3">
        <f ca="1">SUMIF(A52:F69,I69,F52:F69)</f>
        <v>4000</v>
      </c>
      <c r="K69" s="1">
        <v>46145</v>
      </c>
    </row>
    <row r="70" spans="1:18" x14ac:dyDescent="0.2">
      <c r="A70" t="s">
        <v>33</v>
      </c>
      <c r="B70" s="1">
        <v>46146</v>
      </c>
      <c r="C70" t="str">
        <f t="shared" si="2"/>
        <v>mandag</v>
      </c>
      <c r="D70">
        <v>1</v>
      </c>
      <c r="E70">
        <f>VLOOKUP(A70,formler!$G$3:$H$5,2,FALSE)</f>
        <v>1000</v>
      </c>
      <c r="F70">
        <f t="shared" ref="F70:F103" si="4">D70*E70</f>
        <v>1000</v>
      </c>
      <c r="R70">
        <f>1000-912</f>
        <v>88</v>
      </c>
    </row>
    <row r="71" spans="1:18" x14ac:dyDescent="0.2">
      <c r="A71" t="s">
        <v>32</v>
      </c>
      <c r="B71" s="1">
        <v>46147</v>
      </c>
      <c r="C71" t="str">
        <f t="shared" si="2"/>
        <v>tirsdag</v>
      </c>
      <c r="D71">
        <v>1.5</v>
      </c>
      <c r="E71">
        <f>VLOOKUP(A71,formler!$G$3:$H$5,2,FALSE)</f>
        <v>773</v>
      </c>
      <c r="F71">
        <f t="shared" si="4"/>
        <v>1159.5</v>
      </c>
      <c r="G71" s="4"/>
    </row>
    <row r="72" spans="1:18" x14ac:dyDescent="0.2">
      <c r="A72" t="s">
        <v>34</v>
      </c>
      <c r="B72" s="1">
        <v>46149</v>
      </c>
      <c r="C72" t="str">
        <f t="shared" si="2"/>
        <v>torsdag</v>
      </c>
      <c r="D72">
        <v>1</v>
      </c>
      <c r="E72">
        <f>VLOOKUP(A72,formler!$G$3:$H$5,2,FALSE)</f>
        <v>1000</v>
      </c>
      <c r="F72">
        <f t="shared" si="4"/>
        <v>1000</v>
      </c>
      <c r="G72" s="4"/>
    </row>
    <row r="73" spans="1:18" x14ac:dyDescent="0.2">
      <c r="A73" t="s">
        <v>32</v>
      </c>
      <c r="B73" s="1">
        <v>46149</v>
      </c>
      <c r="C73" t="str">
        <f t="shared" si="2"/>
        <v>torsdag</v>
      </c>
      <c r="D73">
        <v>1</v>
      </c>
      <c r="E73">
        <f>VLOOKUP(A73,formler!$G$3:$H$5,2,FALSE)</f>
        <v>773</v>
      </c>
      <c r="F73">
        <f t="shared" si="4"/>
        <v>773</v>
      </c>
    </row>
    <row r="74" spans="1:18" x14ac:dyDescent="0.2">
      <c r="A74" t="s">
        <v>33</v>
      </c>
      <c r="B74" s="1">
        <v>46153</v>
      </c>
      <c r="C74" t="str">
        <f t="shared" si="2"/>
        <v>mandag</v>
      </c>
      <c r="D74">
        <v>1</v>
      </c>
      <c r="E74">
        <f>VLOOKUP(A74,formler!$G$3:$H$5,2,FALSE)</f>
        <v>1000</v>
      </c>
      <c r="F74">
        <f t="shared" si="4"/>
        <v>1000</v>
      </c>
    </row>
    <row r="75" spans="1:18" x14ac:dyDescent="0.2">
      <c r="A75" t="s">
        <v>32</v>
      </c>
      <c r="B75" s="1">
        <v>46154</v>
      </c>
      <c r="C75" t="str">
        <f t="shared" si="2"/>
        <v>tirsdag</v>
      </c>
      <c r="D75">
        <v>1.5</v>
      </c>
      <c r="E75">
        <f>VLOOKUP(A75,formler!$G$3:$H$5,2,FALSE)</f>
        <v>773</v>
      </c>
      <c r="F75">
        <f t="shared" si="4"/>
        <v>1159.5</v>
      </c>
    </row>
    <row r="76" spans="1:18" x14ac:dyDescent="0.2">
      <c r="A76" s="7" t="s">
        <v>34</v>
      </c>
      <c r="B76" s="6">
        <v>46156</v>
      </c>
      <c r="C76" s="7" t="str">
        <f t="shared" si="2"/>
        <v>torsdag</v>
      </c>
      <c r="D76" s="7">
        <v>0</v>
      </c>
      <c r="E76" s="7">
        <f>VLOOKUP(A76,formler!$G$3:$H$5,2,FALSE)</f>
        <v>1000</v>
      </c>
      <c r="F76" s="7">
        <f t="shared" si="4"/>
        <v>0</v>
      </c>
      <c r="G76" s="7" t="s">
        <v>25</v>
      </c>
    </row>
    <row r="77" spans="1:18" x14ac:dyDescent="0.2">
      <c r="A77" s="7" t="s">
        <v>32</v>
      </c>
      <c r="B77" s="6">
        <v>46156</v>
      </c>
      <c r="C77" s="7" t="str">
        <f t="shared" si="2"/>
        <v>torsdag</v>
      </c>
      <c r="D77" s="7">
        <v>0</v>
      </c>
      <c r="E77" s="7">
        <f>VLOOKUP(A77,formler!$G$3:$H$5,2,FALSE)</f>
        <v>773</v>
      </c>
      <c r="F77" s="7">
        <f t="shared" si="4"/>
        <v>0</v>
      </c>
      <c r="G77" s="7" t="s">
        <v>25</v>
      </c>
    </row>
    <row r="78" spans="1:18" x14ac:dyDescent="0.2">
      <c r="A78" t="s">
        <v>33</v>
      </c>
      <c r="B78" s="1">
        <v>46160</v>
      </c>
      <c r="C78" t="str">
        <f t="shared" si="2"/>
        <v>mandag</v>
      </c>
      <c r="D78">
        <v>1</v>
      </c>
      <c r="E78">
        <f>VLOOKUP(A78,formler!$G$3:$H$5,2,FALSE)</f>
        <v>1000</v>
      </c>
      <c r="F78">
        <f t="shared" si="4"/>
        <v>1000</v>
      </c>
    </row>
    <row r="79" spans="1:18" x14ac:dyDescent="0.2">
      <c r="A79" t="s">
        <v>32</v>
      </c>
      <c r="B79" s="1">
        <v>46161</v>
      </c>
      <c r="C79" t="str">
        <f t="shared" si="2"/>
        <v>tirsdag</v>
      </c>
      <c r="D79">
        <v>2.5</v>
      </c>
      <c r="E79">
        <f>VLOOKUP(A79,formler!$G$3:$H$5,2,FALSE)</f>
        <v>773</v>
      </c>
      <c r="F79">
        <f t="shared" si="4"/>
        <v>1932.5</v>
      </c>
      <c r="Q79">
        <f>780000*0.05</f>
        <v>39000</v>
      </c>
    </row>
    <row r="80" spans="1:18" x14ac:dyDescent="0.2">
      <c r="A80" t="s">
        <v>34</v>
      </c>
      <c r="B80" s="1">
        <v>46163</v>
      </c>
      <c r="C80" t="str">
        <f t="shared" si="2"/>
        <v>torsdag</v>
      </c>
      <c r="D80">
        <v>1</v>
      </c>
      <c r="E80">
        <f>VLOOKUP(A80,formler!$G$3:$H$5,2,FALSE)</f>
        <v>1000</v>
      </c>
      <c r="F80">
        <f t="shared" si="4"/>
        <v>1000</v>
      </c>
    </row>
    <row r="81" spans="1:18" ht="15.75" thickBot="1" x14ac:dyDescent="0.25">
      <c r="A81" t="s">
        <v>32</v>
      </c>
      <c r="B81" s="1">
        <v>46163</v>
      </c>
      <c r="C81" t="str">
        <f t="shared" si="2"/>
        <v>torsdag</v>
      </c>
      <c r="D81">
        <v>1</v>
      </c>
      <c r="E81">
        <f>VLOOKUP(A81,formler!$G$3:$H$5,2,FALSE)</f>
        <v>773</v>
      </c>
      <c r="F81">
        <f t="shared" si="4"/>
        <v>773</v>
      </c>
    </row>
    <row r="82" spans="1:18" x14ac:dyDescent="0.2">
      <c r="A82" t="s">
        <v>33</v>
      </c>
      <c r="B82" s="1">
        <v>46167</v>
      </c>
      <c r="C82" t="str">
        <f t="shared" si="2"/>
        <v>mandag</v>
      </c>
      <c r="D82">
        <v>1</v>
      </c>
      <c r="E82">
        <f>VLOOKUP(A82,formler!$G$3:$H$5,2,FALSE)</f>
        <v>1000</v>
      </c>
      <c r="F82">
        <f t="shared" si="4"/>
        <v>1000</v>
      </c>
      <c r="Q82" s="13"/>
      <c r="R82" s="14">
        <f>452-206</f>
        <v>246</v>
      </c>
    </row>
    <row r="83" spans="1:18" x14ac:dyDescent="0.2">
      <c r="A83" t="s">
        <v>32</v>
      </c>
      <c r="B83" s="1">
        <v>46168</v>
      </c>
      <c r="C83" t="str">
        <f t="shared" si="2"/>
        <v>tirsdag</v>
      </c>
      <c r="D83">
        <v>1.5</v>
      </c>
      <c r="E83">
        <f>VLOOKUP(A83,formler!$G$3:$H$5,2,FALSE)</f>
        <v>773</v>
      </c>
      <c r="F83">
        <f t="shared" si="4"/>
        <v>1159.5</v>
      </c>
      <c r="I83" t="s">
        <v>33</v>
      </c>
      <c r="J83">
        <f ca="1">SUMIF(A70:F85,I83,F70:F85)</f>
        <v>4000</v>
      </c>
      <c r="Q83" s="15" t="s">
        <v>39</v>
      </c>
      <c r="R83" s="16">
        <v>144</v>
      </c>
    </row>
    <row r="84" spans="1:18" x14ac:dyDescent="0.2">
      <c r="A84" t="s">
        <v>34</v>
      </c>
      <c r="B84" s="1">
        <v>46170</v>
      </c>
      <c r="C84" t="str">
        <f t="shared" si="2"/>
        <v>torsdag</v>
      </c>
      <c r="D84">
        <v>1</v>
      </c>
      <c r="E84">
        <f>VLOOKUP(A84,formler!$G$3:$H$5,2,FALSE)</f>
        <v>1000</v>
      </c>
      <c r="F84">
        <f t="shared" si="4"/>
        <v>1000</v>
      </c>
      <c r="I84" t="s">
        <v>32</v>
      </c>
      <c r="J84">
        <f ca="1">SUMIF(A70:F85,I84,F70:F85)</f>
        <v>7730</v>
      </c>
      <c r="Q84" s="15" t="s">
        <v>40</v>
      </c>
      <c r="R84" s="16">
        <f>R82*R83</f>
        <v>35424</v>
      </c>
    </row>
    <row r="85" spans="1:18" ht="15.75" thickBot="1" x14ac:dyDescent="0.25">
      <c r="A85" s="3" t="s">
        <v>32</v>
      </c>
      <c r="B85" s="2">
        <v>46170</v>
      </c>
      <c r="C85" s="3" t="str">
        <f t="shared" si="2"/>
        <v>torsdag</v>
      </c>
      <c r="D85" s="3">
        <v>1</v>
      </c>
      <c r="E85" s="3">
        <f>VLOOKUP(A85,formler!$G$3:$H$5,2,FALSE)</f>
        <v>773</v>
      </c>
      <c r="F85" s="3">
        <f t="shared" si="4"/>
        <v>773</v>
      </c>
      <c r="G85" s="3"/>
      <c r="H85" s="11">
        <f>SUM(F70:F85)</f>
        <v>14730</v>
      </c>
      <c r="I85" s="3" t="s">
        <v>34</v>
      </c>
      <c r="J85" s="3">
        <f ca="1">SUMIF(A70:F85,I85,F70:F85)</f>
        <v>3000</v>
      </c>
      <c r="Q85" s="15" t="s">
        <v>43</v>
      </c>
      <c r="R85" s="16">
        <v>133</v>
      </c>
    </row>
    <row r="86" spans="1:18" x14ac:dyDescent="0.2">
      <c r="A86" t="s">
        <v>33</v>
      </c>
      <c r="B86" s="1">
        <v>46174</v>
      </c>
      <c r="C86" t="str">
        <f t="shared" si="2"/>
        <v>mandag</v>
      </c>
      <c r="D86">
        <v>1</v>
      </c>
      <c r="E86">
        <f>VLOOKUP(A86,formler!$G$3:$H$5,2,FALSE)</f>
        <v>1000</v>
      </c>
      <c r="F86">
        <f t="shared" si="4"/>
        <v>1000</v>
      </c>
      <c r="Q86" s="15" t="s">
        <v>42</v>
      </c>
      <c r="R86" s="17">
        <f>88</f>
        <v>88</v>
      </c>
    </row>
    <row r="87" spans="1:18" x14ac:dyDescent="0.2">
      <c r="A87" t="s">
        <v>32</v>
      </c>
      <c r="B87" s="1">
        <v>46175</v>
      </c>
      <c r="C87" t="str">
        <f t="shared" si="2"/>
        <v>tirsdag</v>
      </c>
      <c r="D87">
        <v>1.5</v>
      </c>
      <c r="E87">
        <f>VLOOKUP(A87,formler!$G$3:$H$5,2,FALSE)</f>
        <v>773</v>
      </c>
      <c r="F87">
        <f t="shared" si="4"/>
        <v>1159.5</v>
      </c>
      <c r="Q87" s="15" t="s">
        <v>41</v>
      </c>
      <c r="R87" s="17">
        <f>912+R86</f>
        <v>1000</v>
      </c>
    </row>
    <row r="88" spans="1:18" ht="15.75" thickBot="1" x14ac:dyDescent="0.25">
      <c r="A88" t="s">
        <v>34</v>
      </c>
      <c r="B88" s="1">
        <v>46177</v>
      </c>
      <c r="C88" t="str">
        <f t="shared" si="2"/>
        <v>torsdag</v>
      </c>
      <c r="D88">
        <v>1</v>
      </c>
      <c r="E88">
        <f>VLOOKUP(A88,formler!$G$3:$H$5,2,FALSE)</f>
        <v>1000</v>
      </c>
      <c r="F88">
        <f t="shared" si="4"/>
        <v>1000</v>
      </c>
      <c r="Q88" s="18"/>
      <c r="R88" s="19">
        <f>R85*R86</f>
        <v>11704</v>
      </c>
    </row>
    <row r="89" spans="1:18" x14ac:dyDescent="0.2">
      <c r="A89" t="s">
        <v>32</v>
      </c>
      <c r="B89" s="1">
        <v>46177</v>
      </c>
      <c r="C89" t="str">
        <f t="shared" si="2"/>
        <v>torsdag</v>
      </c>
      <c r="D89">
        <v>1</v>
      </c>
      <c r="E89">
        <f>VLOOKUP(A89,formler!$G$3:$H$5,2,FALSE)</f>
        <v>773</v>
      </c>
      <c r="F89">
        <f t="shared" si="4"/>
        <v>773</v>
      </c>
    </row>
    <row r="90" spans="1:18" x14ac:dyDescent="0.2">
      <c r="A90" t="s">
        <v>33</v>
      </c>
      <c r="B90" s="1">
        <v>46181</v>
      </c>
      <c r="C90" t="str">
        <f t="shared" si="2"/>
        <v>mandag</v>
      </c>
      <c r="D90">
        <v>1</v>
      </c>
      <c r="E90">
        <f>VLOOKUP(A90,formler!$G$3:$H$5,2,FALSE)</f>
        <v>1000</v>
      </c>
      <c r="F90">
        <f t="shared" si="4"/>
        <v>1000</v>
      </c>
    </row>
    <row r="91" spans="1:18" x14ac:dyDescent="0.2">
      <c r="A91" t="s">
        <v>32</v>
      </c>
      <c r="B91" s="1">
        <v>46182</v>
      </c>
      <c r="C91" t="str">
        <f t="shared" si="2"/>
        <v>tirsdag</v>
      </c>
      <c r="D91">
        <v>2.5</v>
      </c>
      <c r="E91">
        <f>VLOOKUP(A91,formler!$G$3:$H$5,2,FALSE)</f>
        <v>773</v>
      </c>
      <c r="F91">
        <f t="shared" si="4"/>
        <v>1932.5</v>
      </c>
    </row>
    <row r="92" spans="1:18" x14ac:dyDescent="0.2">
      <c r="A92" t="s">
        <v>34</v>
      </c>
      <c r="B92" s="1">
        <v>46184</v>
      </c>
      <c r="C92" t="str">
        <f t="shared" si="2"/>
        <v>torsdag</v>
      </c>
      <c r="D92">
        <v>1</v>
      </c>
      <c r="E92">
        <f>VLOOKUP(A92,formler!$G$3:$H$5,2,FALSE)</f>
        <v>1000</v>
      </c>
      <c r="F92">
        <f t="shared" si="4"/>
        <v>1000</v>
      </c>
    </row>
    <row r="93" spans="1:18" x14ac:dyDescent="0.2">
      <c r="A93" t="s">
        <v>32</v>
      </c>
      <c r="B93" s="1">
        <v>46184</v>
      </c>
      <c r="C93" t="str">
        <f t="shared" si="2"/>
        <v>torsdag</v>
      </c>
      <c r="D93">
        <v>1</v>
      </c>
      <c r="E93">
        <f>VLOOKUP(A93,formler!$G$3:$H$5,2,FALSE)</f>
        <v>773</v>
      </c>
      <c r="F93">
        <f t="shared" si="4"/>
        <v>773</v>
      </c>
    </row>
    <row r="94" spans="1:18" x14ac:dyDescent="0.2">
      <c r="A94" t="s">
        <v>33</v>
      </c>
      <c r="B94" s="1">
        <v>46188</v>
      </c>
      <c r="C94" t="str">
        <f t="shared" si="2"/>
        <v>mandag</v>
      </c>
      <c r="D94">
        <v>1</v>
      </c>
      <c r="E94">
        <f>VLOOKUP(A94,formler!$G$3:$H$5,2,FALSE)</f>
        <v>1000</v>
      </c>
      <c r="F94">
        <f t="shared" si="4"/>
        <v>1000</v>
      </c>
      <c r="L94" s="12">
        <v>11625</v>
      </c>
      <c r="M94" s="5" t="s">
        <v>36</v>
      </c>
    </row>
    <row r="95" spans="1:18" x14ac:dyDescent="0.2">
      <c r="A95" t="s">
        <v>32</v>
      </c>
      <c r="B95" s="1">
        <v>46189</v>
      </c>
      <c r="C95" t="str">
        <f t="shared" si="2"/>
        <v>tirsdag</v>
      </c>
      <c r="D95">
        <v>1.5</v>
      </c>
      <c r="E95">
        <f>VLOOKUP(A95,formler!$G$3:$H$5,2,FALSE)</f>
        <v>773</v>
      </c>
      <c r="F95">
        <f t="shared" si="4"/>
        <v>1159.5</v>
      </c>
    </row>
    <row r="96" spans="1:18" x14ac:dyDescent="0.2">
      <c r="A96" t="s">
        <v>34</v>
      </c>
      <c r="B96" s="1">
        <v>46191</v>
      </c>
      <c r="C96" t="str">
        <f t="shared" si="2"/>
        <v>torsdag</v>
      </c>
      <c r="D96">
        <v>1</v>
      </c>
      <c r="E96">
        <f>VLOOKUP(A96,formler!$G$3:$H$5,2,FALSE)</f>
        <v>1000</v>
      </c>
      <c r="F96">
        <f t="shared" si="4"/>
        <v>1000</v>
      </c>
    </row>
    <row r="97" spans="1:11" x14ac:dyDescent="0.2">
      <c r="A97" t="s">
        <v>32</v>
      </c>
      <c r="B97" s="1">
        <v>46191</v>
      </c>
      <c r="C97" t="str">
        <f t="shared" si="2"/>
        <v>torsdag</v>
      </c>
      <c r="D97">
        <v>1</v>
      </c>
      <c r="E97">
        <f>VLOOKUP(A97,formler!$G$3:$H$5,2,FALSE)</f>
        <v>773</v>
      </c>
      <c r="F97">
        <f t="shared" si="4"/>
        <v>773</v>
      </c>
    </row>
    <row r="98" spans="1:11" x14ac:dyDescent="0.2">
      <c r="A98" t="s">
        <v>33</v>
      </c>
      <c r="B98" s="1">
        <v>46195</v>
      </c>
      <c r="C98" t="str">
        <f t="shared" si="2"/>
        <v>mandag</v>
      </c>
      <c r="D98">
        <v>1</v>
      </c>
      <c r="E98">
        <f>VLOOKUP(A98,formler!$G$3:$H$5,2,FALSE)</f>
        <v>1000</v>
      </c>
      <c r="F98">
        <f t="shared" si="4"/>
        <v>1000</v>
      </c>
    </row>
    <row r="99" spans="1:11" x14ac:dyDescent="0.2">
      <c r="A99" t="s">
        <v>32</v>
      </c>
      <c r="B99" s="1">
        <v>46196</v>
      </c>
      <c r="C99" t="str">
        <f t="shared" si="2"/>
        <v>tirsdag</v>
      </c>
      <c r="D99">
        <v>1.5</v>
      </c>
      <c r="E99">
        <f>VLOOKUP(A99,formler!$G$3:$H$5,2,FALSE)</f>
        <v>773</v>
      </c>
      <c r="F99">
        <f t="shared" si="4"/>
        <v>1159.5</v>
      </c>
    </row>
    <row r="100" spans="1:11" x14ac:dyDescent="0.2">
      <c r="A100" t="s">
        <v>34</v>
      </c>
      <c r="B100" s="1">
        <v>46198</v>
      </c>
      <c r="C100" t="str">
        <f t="shared" si="2"/>
        <v>torsdag</v>
      </c>
      <c r="D100">
        <v>1</v>
      </c>
      <c r="E100">
        <f>VLOOKUP(A100,formler!$G$3:$H$5,2,FALSE)</f>
        <v>1000</v>
      </c>
      <c r="F100">
        <f t="shared" si="4"/>
        <v>1000</v>
      </c>
    </row>
    <row r="101" spans="1:11" x14ac:dyDescent="0.2">
      <c r="A101" t="s">
        <v>32</v>
      </c>
      <c r="B101" s="1">
        <v>46198</v>
      </c>
      <c r="C101" t="str">
        <f t="shared" si="2"/>
        <v>torsdag</v>
      </c>
      <c r="D101">
        <v>1</v>
      </c>
      <c r="E101">
        <f>VLOOKUP(A101,formler!$G$3:$H$5,2,FALSE)</f>
        <v>773</v>
      </c>
      <c r="F101">
        <f t="shared" si="4"/>
        <v>773</v>
      </c>
      <c r="I101" t="s">
        <v>33</v>
      </c>
      <c r="J101">
        <f ca="1">SUMIF(A86:F103,I101,F86:F103)</f>
        <v>5000</v>
      </c>
    </row>
    <row r="102" spans="1:11" x14ac:dyDescent="0.2">
      <c r="A102" t="s">
        <v>33</v>
      </c>
      <c r="B102" s="1">
        <v>46202</v>
      </c>
      <c r="C102" t="str">
        <f t="shared" si="2"/>
        <v>mandag</v>
      </c>
      <c r="D102">
        <v>1</v>
      </c>
      <c r="E102">
        <f>VLOOKUP(A102,formler!$G$3:$H$5,2,FALSE)</f>
        <v>1000</v>
      </c>
      <c r="F102">
        <f t="shared" si="4"/>
        <v>1000</v>
      </c>
      <c r="I102" t="s">
        <v>32</v>
      </c>
      <c r="J102">
        <f ca="1">SUMIF(A86:F103,I102,F86:F103)</f>
        <v>10435.5</v>
      </c>
    </row>
    <row r="103" spans="1:11" ht="15.75" thickBot="1" x14ac:dyDescent="0.25">
      <c r="A103" s="3" t="s">
        <v>32</v>
      </c>
      <c r="B103" s="2">
        <v>46203</v>
      </c>
      <c r="C103" s="3" t="str">
        <f t="shared" si="2"/>
        <v>tirsdag</v>
      </c>
      <c r="D103" s="3">
        <v>2.5</v>
      </c>
      <c r="E103" s="3">
        <f>VLOOKUP(A103,formler!$G$3:$H$5,2,FALSE)</f>
        <v>773</v>
      </c>
      <c r="F103" s="3">
        <f t="shared" si="4"/>
        <v>1932.5</v>
      </c>
      <c r="G103" s="3"/>
      <c r="H103" s="11">
        <f>SUM(F87:F103)</f>
        <v>18435.5</v>
      </c>
      <c r="I103" s="3" t="s">
        <v>34</v>
      </c>
      <c r="J103" s="3">
        <f ca="1">SUMIF(A86:F103,I103,F86:F103)</f>
        <v>4000</v>
      </c>
    </row>
    <row r="104" spans="1:11" x14ac:dyDescent="0.2">
      <c r="D104">
        <f>SUM(D2:D103)</f>
        <v>108.5</v>
      </c>
      <c r="F104">
        <f>SUM(F2:F103)</f>
        <v>93858.5</v>
      </c>
      <c r="K104">
        <f ca="1">SUM(J2:J103)</f>
        <v>93858.5</v>
      </c>
    </row>
    <row r="108" spans="1:11" x14ac:dyDescent="0.2">
      <c r="A108" t="s">
        <v>33</v>
      </c>
      <c r="B108" s="1">
        <v>46237</v>
      </c>
      <c r="C108" t="str">
        <f t="shared" ref="C108:C171" si="5">TEXT(B108,"dddd")</f>
        <v>mandag</v>
      </c>
      <c r="D108">
        <v>1</v>
      </c>
      <c r="E108">
        <f>VLOOKUP(A108,formler!$G$3:$H$5,2,FALSE)</f>
        <v>1000</v>
      </c>
      <c r="F108">
        <f t="shared" ref="F108" si="6">D108*E108</f>
        <v>1000</v>
      </c>
    </row>
    <row r="109" spans="1:11" x14ac:dyDescent="0.2">
      <c r="A109" t="s">
        <v>32</v>
      </c>
      <c r="B109" s="1">
        <v>46238</v>
      </c>
      <c r="C109" t="str">
        <f t="shared" si="5"/>
        <v>tirsdag</v>
      </c>
      <c r="D109">
        <v>1.5</v>
      </c>
      <c r="E109">
        <f>VLOOKUP(A109,formler!$G$3:$H$5,2,FALSE)</f>
        <v>773</v>
      </c>
      <c r="F109">
        <f t="shared" ref="F109:F172" si="7">D109*E109</f>
        <v>1159.5</v>
      </c>
    </row>
    <row r="110" spans="1:11" x14ac:dyDescent="0.2">
      <c r="A110" t="s">
        <v>34</v>
      </c>
      <c r="B110" s="1">
        <v>46240</v>
      </c>
      <c r="C110" t="str">
        <f t="shared" si="5"/>
        <v>torsdag</v>
      </c>
      <c r="D110">
        <v>1</v>
      </c>
      <c r="E110">
        <f>VLOOKUP(A110,formler!$G$3:$H$5,2,FALSE)</f>
        <v>1000</v>
      </c>
      <c r="F110">
        <f t="shared" si="7"/>
        <v>1000</v>
      </c>
    </row>
    <row r="111" spans="1:11" x14ac:dyDescent="0.2">
      <c r="A111" t="s">
        <v>32</v>
      </c>
      <c r="B111" s="1">
        <v>46240</v>
      </c>
      <c r="C111" t="str">
        <f t="shared" si="5"/>
        <v>torsdag</v>
      </c>
      <c r="D111">
        <v>1</v>
      </c>
      <c r="E111">
        <f>VLOOKUP(A111,formler!$G$3:$H$5,2,FALSE)</f>
        <v>773</v>
      </c>
      <c r="F111">
        <f t="shared" si="7"/>
        <v>773</v>
      </c>
    </row>
    <row r="112" spans="1:11" x14ac:dyDescent="0.2">
      <c r="A112" t="s">
        <v>33</v>
      </c>
      <c r="B112" s="1">
        <v>46244</v>
      </c>
      <c r="C112" t="str">
        <f t="shared" si="5"/>
        <v>mandag</v>
      </c>
      <c r="D112">
        <v>1</v>
      </c>
      <c r="E112">
        <f>VLOOKUP(A112,formler!$G$3:$H$5,2,FALSE)</f>
        <v>1000</v>
      </c>
      <c r="F112">
        <f t="shared" si="7"/>
        <v>1000</v>
      </c>
    </row>
    <row r="113" spans="1:15" x14ac:dyDescent="0.2">
      <c r="A113" t="s">
        <v>32</v>
      </c>
      <c r="B113" s="1">
        <v>46245</v>
      </c>
      <c r="C113" t="str">
        <f t="shared" si="5"/>
        <v>tirsdag</v>
      </c>
      <c r="D113">
        <v>1.5</v>
      </c>
      <c r="E113">
        <f>VLOOKUP(A113,formler!$G$3:$H$5,2,FALSE)</f>
        <v>773</v>
      </c>
      <c r="F113">
        <f t="shared" si="7"/>
        <v>1159.5</v>
      </c>
    </row>
    <row r="114" spans="1:15" x14ac:dyDescent="0.2">
      <c r="A114" t="s">
        <v>34</v>
      </c>
      <c r="B114" s="1">
        <v>46247</v>
      </c>
      <c r="C114" t="str">
        <f t="shared" si="5"/>
        <v>torsdag</v>
      </c>
      <c r="D114">
        <v>1</v>
      </c>
      <c r="E114">
        <f>VLOOKUP(A114,formler!$G$3:$H$5,2,FALSE)</f>
        <v>1000</v>
      </c>
      <c r="F114">
        <f t="shared" si="7"/>
        <v>1000</v>
      </c>
    </row>
    <row r="115" spans="1:15" x14ac:dyDescent="0.2">
      <c r="A115" t="s">
        <v>32</v>
      </c>
      <c r="B115" s="1">
        <v>46247</v>
      </c>
      <c r="C115" t="str">
        <f t="shared" si="5"/>
        <v>torsdag</v>
      </c>
      <c r="D115">
        <v>1</v>
      </c>
      <c r="E115">
        <f>VLOOKUP(A115,formler!$G$3:$H$5,2,FALSE)</f>
        <v>773</v>
      </c>
      <c r="F115">
        <f t="shared" si="7"/>
        <v>773</v>
      </c>
    </row>
    <row r="116" spans="1:15" x14ac:dyDescent="0.2">
      <c r="A116" t="s">
        <v>33</v>
      </c>
      <c r="B116" s="1">
        <v>46251</v>
      </c>
      <c r="C116" t="str">
        <f t="shared" si="5"/>
        <v>mandag</v>
      </c>
      <c r="E116">
        <f>VLOOKUP(A116,formler!$G$3:$H$5,2,FALSE)</f>
        <v>1000</v>
      </c>
      <c r="F116">
        <f t="shared" si="7"/>
        <v>0</v>
      </c>
    </row>
    <row r="117" spans="1:15" x14ac:dyDescent="0.2">
      <c r="A117" t="s">
        <v>32</v>
      </c>
      <c r="B117" s="1">
        <v>46252</v>
      </c>
      <c r="C117" t="str">
        <f t="shared" si="5"/>
        <v>tirsdag</v>
      </c>
      <c r="D117">
        <v>1.5</v>
      </c>
      <c r="E117">
        <f>VLOOKUP(A117,formler!$G$3:$H$5,2,FALSE)</f>
        <v>773</v>
      </c>
      <c r="F117">
        <f t="shared" si="7"/>
        <v>1159.5</v>
      </c>
    </row>
    <row r="118" spans="1:15" x14ac:dyDescent="0.2">
      <c r="A118" t="s">
        <v>34</v>
      </c>
      <c r="B118" s="1">
        <v>46254</v>
      </c>
      <c r="C118" t="str">
        <f t="shared" si="5"/>
        <v>torsdag</v>
      </c>
      <c r="D118">
        <v>1</v>
      </c>
      <c r="E118">
        <f>VLOOKUP(A118,formler!$G$3:$H$5,2,FALSE)</f>
        <v>1000</v>
      </c>
      <c r="F118">
        <f t="shared" si="7"/>
        <v>1000</v>
      </c>
    </row>
    <row r="119" spans="1:15" x14ac:dyDescent="0.2">
      <c r="A119" t="s">
        <v>32</v>
      </c>
      <c r="B119" s="1">
        <v>46254</v>
      </c>
      <c r="C119" t="str">
        <f t="shared" si="5"/>
        <v>torsdag</v>
      </c>
      <c r="D119">
        <v>1</v>
      </c>
      <c r="E119">
        <f>VLOOKUP(A119,formler!$G$3:$H$5,2,FALSE)</f>
        <v>773</v>
      </c>
      <c r="F119">
        <f t="shared" si="7"/>
        <v>773</v>
      </c>
    </row>
    <row r="120" spans="1:15" x14ac:dyDescent="0.2">
      <c r="A120" t="s">
        <v>33</v>
      </c>
      <c r="B120" s="1">
        <v>46258</v>
      </c>
      <c r="C120" t="str">
        <f t="shared" si="5"/>
        <v>mandag</v>
      </c>
      <c r="D120">
        <v>1</v>
      </c>
      <c r="E120">
        <f>VLOOKUP(A120,formler!$G$3:$H$5,2,FALSE)</f>
        <v>1000</v>
      </c>
      <c r="F120">
        <f t="shared" si="7"/>
        <v>1000</v>
      </c>
    </row>
    <row r="121" spans="1:15" x14ac:dyDescent="0.2">
      <c r="A121" t="s">
        <v>32</v>
      </c>
      <c r="B121" s="1">
        <v>46259</v>
      </c>
      <c r="C121" t="str">
        <f t="shared" si="5"/>
        <v>tirsdag</v>
      </c>
      <c r="D121">
        <v>2.5</v>
      </c>
      <c r="E121">
        <f>VLOOKUP(A121,formler!$G$3:$H$5,2,FALSE)</f>
        <v>773</v>
      </c>
      <c r="F121">
        <f t="shared" si="7"/>
        <v>1932.5</v>
      </c>
      <c r="O121">
        <f>56760+462438+2000</f>
        <v>521198</v>
      </c>
    </row>
    <row r="122" spans="1:15" x14ac:dyDescent="0.2">
      <c r="A122" t="s">
        <v>34</v>
      </c>
      <c r="B122" s="1">
        <v>46261</v>
      </c>
      <c r="C122" t="str">
        <f t="shared" si="5"/>
        <v>torsdag</v>
      </c>
      <c r="D122">
        <v>1</v>
      </c>
      <c r="E122">
        <f>VLOOKUP(A122,formler!$G$3:$H$5,2,FALSE)</f>
        <v>1000</v>
      </c>
      <c r="F122">
        <f t="shared" si="7"/>
        <v>1000</v>
      </c>
      <c r="I122" t="s">
        <v>33</v>
      </c>
      <c r="J122">
        <f ca="1">SUMIF(A108:F124,I122,F108:F124)</f>
        <v>4000</v>
      </c>
    </row>
    <row r="123" spans="1:15" x14ac:dyDescent="0.2">
      <c r="A123" t="s">
        <v>32</v>
      </c>
      <c r="B123" s="1">
        <v>46261</v>
      </c>
      <c r="C123" t="str">
        <f t="shared" si="5"/>
        <v>torsdag</v>
      </c>
      <c r="D123">
        <v>1</v>
      </c>
      <c r="E123">
        <f>VLOOKUP(A123,formler!$G$3:$H$5,2,FALSE)</f>
        <v>773</v>
      </c>
      <c r="F123">
        <f t="shared" si="7"/>
        <v>773</v>
      </c>
      <c r="I123" t="s">
        <v>32</v>
      </c>
      <c r="J123">
        <f ca="1">SUMIF(A108:F124,I123,F108:F124)</f>
        <v>8503</v>
      </c>
    </row>
    <row r="124" spans="1:15" ht="15.75" thickBot="1" x14ac:dyDescent="0.25">
      <c r="A124" s="3" t="s">
        <v>33</v>
      </c>
      <c r="B124" s="2">
        <v>46265</v>
      </c>
      <c r="C124" s="3" t="str">
        <f t="shared" si="5"/>
        <v>mandag</v>
      </c>
      <c r="D124" s="3">
        <v>1</v>
      </c>
      <c r="E124" s="3">
        <f>VLOOKUP(A124,formler!$G$3:$H$5,2,FALSE)</f>
        <v>1000</v>
      </c>
      <c r="F124" s="3">
        <f t="shared" si="7"/>
        <v>1000</v>
      </c>
      <c r="G124" s="3"/>
      <c r="H124" s="11">
        <f>SUM(F108:F124)</f>
        <v>16503</v>
      </c>
      <c r="I124" s="3" t="s">
        <v>34</v>
      </c>
      <c r="J124">
        <f ca="1">SUMIF(A108:F124,I124,F108:F124)</f>
        <v>4000</v>
      </c>
    </row>
    <row r="125" spans="1:15" x14ac:dyDescent="0.2">
      <c r="A125" t="s">
        <v>32</v>
      </c>
      <c r="B125" s="1">
        <v>46266</v>
      </c>
      <c r="C125" t="str">
        <f t="shared" si="5"/>
        <v>tirsdag</v>
      </c>
      <c r="D125">
        <v>1.5</v>
      </c>
      <c r="E125">
        <f>VLOOKUP(A125,formler!$G$3:$H$5,2,FALSE)</f>
        <v>773</v>
      </c>
      <c r="F125">
        <f t="shared" si="7"/>
        <v>1159.5</v>
      </c>
    </row>
    <row r="126" spans="1:15" x14ac:dyDescent="0.2">
      <c r="A126" t="s">
        <v>34</v>
      </c>
      <c r="B126" s="1">
        <v>46269</v>
      </c>
      <c r="C126" t="str">
        <f t="shared" si="5"/>
        <v>fredag</v>
      </c>
      <c r="D126">
        <v>1</v>
      </c>
      <c r="E126">
        <f>VLOOKUP(A126,formler!$G$3:$H$5,2,FALSE)</f>
        <v>1000</v>
      </c>
      <c r="F126">
        <f t="shared" si="7"/>
        <v>1000</v>
      </c>
    </row>
    <row r="127" spans="1:15" x14ac:dyDescent="0.2">
      <c r="A127" t="s">
        <v>32</v>
      </c>
      <c r="B127" s="1">
        <v>46269</v>
      </c>
      <c r="C127" t="str">
        <f t="shared" si="5"/>
        <v>fredag</v>
      </c>
      <c r="D127">
        <v>1</v>
      </c>
      <c r="E127">
        <f>VLOOKUP(A127,formler!$G$3:$H$5,2,FALSE)</f>
        <v>773</v>
      </c>
      <c r="F127">
        <f t="shared" si="7"/>
        <v>773</v>
      </c>
    </row>
    <row r="128" spans="1:15" x14ac:dyDescent="0.2">
      <c r="A128" t="s">
        <v>33</v>
      </c>
      <c r="B128" s="1">
        <v>46272</v>
      </c>
      <c r="C128" t="str">
        <f t="shared" si="5"/>
        <v>mandag</v>
      </c>
      <c r="D128">
        <v>1</v>
      </c>
      <c r="E128">
        <f>VLOOKUP(A128,formler!$G$3:$H$5,2,FALSE)</f>
        <v>1000</v>
      </c>
      <c r="F128">
        <f t="shared" si="7"/>
        <v>1000</v>
      </c>
    </row>
    <row r="129" spans="1:13" x14ac:dyDescent="0.2">
      <c r="A129" t="s">
        <v>32</v>
      </c>
      <c r="B129" s="1">
        <v>46273</v>
      </c>
      <c r="C129" t="str">
        <f t="shared" si="5"/>
        <v>tirsdag</v>
      </c>
      <c r="D129">
        <v>1.5</v>
      </c>
      <c r="E129">
        <f>VLOOKUP(A129,formler!$G$3:$H$5,2,FALSE)</f>
        <v>773</v>
      </c>
      <c r="F129">
        <f t="shared" si="7"/>
        <v>1159.5</v>
      </c>
    </row>
    <row r="130" spans="1:13" x14ac:dyDescent="0.2">
      <c r="A130" t="s">
        <v>34</v>
      </c>
      <c r="B130" s="1">
        <v>46275</v>
      </c>
      <c r="C130" t="str">
        <f t="shared" si="5"/>
        <v>torsdag</v>
      </c>
      <c r="D130">
        <v>1</v>
      </c>
      <c r="E130">
        <f>VLOOKUP(A130,formler!$G$3:$H$5,2,FALSE)</f>
        <v>1000</v>
      </c>
      <c r="F130">
        <f t="shared" si="7"/>
        <v>1000</v>
      </c>
    </row>
    <row r="131" spans="1:13" x14ac:dyDescent="0.2">
      <c r="A131" t="s">
        <v>32</v>
      </c>
      <c r="B131" s="1">
        <v>46275</v>
      </c>
      <c r="C131" t="str">
        <f t="shared" si="5"/>
        <v>torsdag</v>
      </c>
      <c r="D131">
        <v>1</v>
      </c>
      <c r="E131">
        <f>VLOOKUP(A131,formler!$G$3:$H$5,2,FALSE)</f>
        <v>773</v>
      </c>
      <c r="F131">
        <f t="shared" si="7"/>
        <v>773</v>
      </c>
    </row>
    <row r="132" spans="1:13" x14ac:dyDescent="0.2">
      <c r="A132" t="s">
        <v>33</v>
      </c>
      <c r="B132" s="1">
        <v>46279</v>
      </c>
      <c r="C132" t="str">
        <f t="shared" si="5"/>
        <v>mandag</v>
      </c>
      <c r="D132">
        <v>1</v>
      </c>
      <c r="E132">
        <f>VLOOKUP(A132,formler!$G$3:$H$5,2,FALSE)</f>
        <v>1000</v>
      </c>
      <c r="F132">
        <f t="shared" si="7"/>
        <v>1000</v>
      </c>
    </row>
    <row r="133" spans="1:13" x14ac:dyDescent="0.2">
      <c r="A133" t="s">
        <v>32</v>
      </c>
      <c r="B133" s="1">
        <v>46280</v>
      </c>
      <c r="C133" t="str">
        <f t="shared" si="5"/>
        <v>tirsdag</v>
      </c>
      <c r="D133">
        <v>2.5</v>
      </c>
      <c r="E133">
        <f>VLOOKUP(A133,formler!$G$3:$H$5,2,FALSE)</f>
        <v>773</v>
      </c>
      <c r="F133">
        <f t="shared" si="7"/>
        <v>1932.5</v>
      </c>
      <c r="L133" s="12">
        <v>11625</v>
      </c>
      <c r="M133" s="5" t="s">
        <v>36</v>
      </c>
    </row>
    <row r="134" spans="1:13" x14ac:dyDescent="0.2">
      <c r="A134" t="s">
        <v>34</v>
      </c>
      <c r="B134" s="1">
        <v>46282</v>
      </c>
      <c r="C134" t="str">
        <f t="shared" si="5"/>
        <v>torsdag</v>
      </c>
      <c r="D134">
        <v>1</v>
      </c>
      <c r="E134">
        <f>VLOOKUP(A134,formler!$G$3:$H$5,2,FALSE)</f>
        <v>1000</v>
      </c>
      <c r="F134">
        <f t="shared" si="7"/>
        <v>1000</v>
      </c>
    </row>
    <row r="135" spans="1:13" x14ac:dyDescent="0.2">
      <c r="A135" t="s">
        <v>32</v>
      </c>
      <c r="B135" s="1">
        <v>46282</v>
      </c>
      <c r="C135" t="str">
        <f t="shared" si="5"/>
        <v>torsdag</v>
      </c>
      <c r="D135">
        <v>1</v>
      </c>
      <c r="E135">
        <f>VLOOKUP(A135,formler!$G$3:$H$5,2,FALSE)</f>
        <v>773</v>
      </c>
      <c r="F135">
        <f t="shared" si="7"/>
        <v>773</v>
      </c>
    </row>
    <row r="136" spans="1:13" x14ac:dyDescent="0.2">
      <c r="A136" t="s">
        <v>33</v>
      </c>
      <c r="B136" s="1">
        <v>46286</v>
      </c>
      <c r="C136" t="str">
        <f t="shared" si="5"/>
        <v>mandag</v>
      </c>
      <c r="D136">
        <v>1</v>
      </c>
      <c r="E136">
        <f>VLOOKUP(A136,formler!$G$3:$H$5,2,FALSE)</f>
        <v>1000</v>
      </c>
      <c r="F136">
        <f t="shared" si="7"/>
        <v>1000</v>
      </c>
    </row>
    <row r="137" spans="1:13" x14ac:dyDescent="0.2">
      <c r="A137" t="s">
        <v>32</v>
      </c>
      <c r="B137" s="1">
        <v>46287</v>
      </c>
      <c r="C137" t="str">
        <f t="shared" si="5"/>
        <v>tirsdag</v>
      </c>
      <c r="D137">
        <v>1.5</v>
      </c>
      <c r="E137">
        <f>VLOOKUP(A137,formler!$G$3:$H$5,2,FALSE)</f>
        <v>773</v>
      </c>
      <c r="F137">
        <f t="shared" si="7"/>
        <v>1159.5</v>
      </c>
    </row>
    <row r="138" spans="1:13" x14ac:dyDescent="0.2">
      <c r="A138" t="s">
        <v>34</v>
      </c>
      <c r="B138" s="1">
        <v>46289</v>
      </c>
      <c r="C138" t="str">
        <f t="shared" si="5"/>
        <v>torsdag</v>
      </c>
      <c r="D138">
        <v>1</v>
      </c>
      <c r="E138">
        <f>VLOOKUP(A138,formler!$G$3:$H$5,2,FALSE)</f>
        <v>1000</v>
      </c>
      <c r="F138">
        <f t="shared" si="7"/>
        <v>1000</v>
      </c>
    </row>
    <row r="139" spans="1:13" x14ac:dyDescent="0.2">
      <c r="A139" t="s">
        <v>32</v>
      </c>
      <c r="B139" s="1">
        <v>46289</v>
      </c>
      <c r="C139" t="str">
        <f t="shared" si="5"/>
        <v>torsdag</v>
      </c>
      <c r="D139">
        <v>1</v>
      </c>
      <c r="E139">
        <f>VLOOKUP(A139,formler!$G$3:$H$5,2,FALSE)</f>
        <v>773</v>
      </c>
      <c r="F139">
        <f t="shared" si="7"/>
        <v>773</v>
      </c>
      <c r="I139" t="s">
        <v>33</v>
      </c>
      <c r="J139">
        <f ca="1">SUMIF(A125:F141,I139,F125:F141)</f>
        <v>4000</v>
      </c>
    </row>
    <row r="140" spans="1:13" x14ac:dyDescent="0.2">
      <c r="A140" t="s">
        <v>33</v>
      </c>
      <c r="B140" s="1">
        <v>46293</v>
      </c>
      <c r="C140" t="str">
        <f t="shared" si="5"/>
        <v>mandag</v>
      </c>
      <c r="D140">
        <v>1</v>
      </c>
      <c r="E140">
        <f>VLOOKUP(A140,formler!$G$3:$H$5,2,FALSE)</f>
        <v>1000</v>
      </c>
      <c r="F140">
        <f t="shared" si="7"/>
        <v>1000</v>
      </c>
      <c r="I140" t="s">
        <v>32</v>
      </c>
      <c r="J140">
        <f ca="1">SUMIF(A125:F141,I140,F125:F141)</f>
        <v>9662.5</v>
      </c>
    </row>
    <row r="141" spans="1:13" ht="15.75" thickBot="1" x14ac:dyDescent="0.25">
      <c r="A141" s="3" t="s">
        <v>32</v>
      </c>
      <c r="B141" s="2">
        <v>46294</v>
      </c>
      <c r="C141" s="3" t="str">
        <f t="shared" si="5"/>
        <v>tirsdag</v>
      </c>
      <c r="D141" s="3">
        <v>1.5</v>
      </c>
      <c r="E141" s="3">
        <f>VLOOKUP(A141,formler!$G$3:$H$5,2,FALSE)</f>
        <v>773</v>
      </c>
      <c r="F141" s="3">
        <f t="shared" si="7"/>
        <v>1159.5</v>
      </c>
      <c r="G141" s="3"/>
      <c r="H141" s="11">
        <f>SUM(F125:F141)</f>
        <v>17662.5</v>
      </c>
      <c r="I141" s="3" t="s">
        <v>34</v>
      </c>
      <c r="J141" s="3">
        <f ca="1">SUMIF(A125:F141,I141,F125:F141)</f>
        <v>4000</v>
      </c>
    </row>
    <row r="142" spans="1:13" x14ac:dyDescent="0.2">
      <c r="A142" t="s">
        <v>34</v>
      </c>
      <c r="B142" s="1">
        <v>46296</v>
      </c>
      <c r="C142" t="str">
        <f t="shared" si="5"/>
        <v>torsdag</v>
      </c>
      <c r="D142">
        <v>1</v>
      </c>
      <c r="E142">
        <f>VLOOKUP(A142,formler!$G$3:$H$5,2,FALSE)</f>
        <v>1000</v>
      </c>
      <c r="F142">
        <f t="shared" si="7"/>
        <v>1000</v>
      </c>
    </row>
    <row r="143" spans="1:13" x14ac:dyDescent="0.2">
      <c r="A143" t="s">
        <v>32</v>
      </c>
      <c r="B143" s="1">
        <v>46296</v>
      </c>
      <c r="C143" t="str">
        <f t="shared" si="5"/>
        <v>torsdag</v>
      </c>
      <c r="D143">
        <v>1</v>
      </c>
      <c r="E143">
        <f>VLOOKUP(A143,formler!$G$3:$H$5,2,FALSE)</f>
        <v>773</v>
      </c>
      <c r="F143">
        <f t="shared" si="7"/>
        <v>773</v>
      </c>
    </row>
    <row r="144" spans="1:13" x14ac:dyDescent="0.2">
      <c r="A144" t="s">
        <v>33</v>
      </c>
      <c r="B144" s="1">
        <v>46300</v>
      </c>
      <c r="C144" t="str">
        <f t="shared" si="5"/>
        <v>mandag</v>
      </c>
      <c r="D144">
        <v>1</v>
      </c>
      <c r="E144">
        <f>VLOOKUP(A144,formler!$G$3:$H$5,2,FALSE)</f>
        <v>1000</v>
      </c>
      <c r="F144">
        <f t="shared" si="7"/>
        <v>1000</v>
      </c>
    </row>
    <row r="145" spans="1:10" x14ac:dyDescent="0.2">
      <c r="A145" t="s">
        <v>32</v>
      </c>
      <c r="B145" s="1">
        <v>46301</v>
      </c>
      <c r="C145" t="str">
        <f t="shared" si="5"/>
        <v>tirsdag</v>
      </c>
      <c r="D145">
        <v>2.5</v>
      </c>
      <c r="E145">
        <f>VLOOKUP(A145,formler!$G$3:$H$5,2,FALSE)</f>
        <v>773</v>
      </c>
      <c r="F145">
        <f t="shared" si="7"/>
        <v>1932.5</v>
      </c>
    </row>
    <row r="146" spans="1:10" x14ac:dyDescent="0.2">
      <c r="A146" t="s">
        <v>34</v>
      </c>
      <c r="B146" s="1">
        <v>46303</v>
      </c>
      <c r="C146" t="str">
        <f t="shared" si="5"/>
        <v>torsdag</v>
      </c>
      <c r="D146">
        <v>1</v>
      </c>
      <c r="E146">
        <f>VLOOKUP(A146,formler!$G$3:$H$5,2,FALSE)</f>
        <v>1000</v>
      </c>
      <c r="F146">
        <f t="shared" si="7"/>
        <v>1000</v>
      </c>
    </row>
    <row r="147" spans="1:10" x14ac:dyDescent="0.2">
      <c r="A147" t="s">
        <v>32</v>
      </c>
      <c r="B147" s="1">
        <v>46303</v>
      </c>
      <c r="C147" t="str">
        <f t="shared" si="5"/>
        <v>torsdag</v>
      </c>
      <c r="D147">
        <v>1</v>
      </c>
      <c r="E147">
        <f>VLOOKUP(A147,formler!$G$3:$H$5,2,FALSE)</f>
        <v>773</v>
      </c>
      <c r="F147">
        <f t="shared" si="7"/>
        <v>773</v>
      </c>
    </row>
    <row r="148" spans="1:10" x14ac:dyDescent="0.2">
      <c r="A148" t="s">
        <v>33</v>
      </c>
      <c r="B148" s="1">
        <v>46307</v>
      </c>
      <c r="C148" t="str">
        <f t="shared" si="5"/>
        <v>mandag</v>
      </c>
      <c r="D148">
        <v>1</v>
      </c>
      <c r="E148">
        <f>VLOOKUP(A148,formler!$G$3:$H$5,2,FALSE)</f>
        <v>1000</v>
      </c>
      <c r="F148">
        <f t="shared" si="7"/>
        <v>1000</v>
      </c>
    </row>
    <row r="149" spans="1:10" x14ac:dyDescent="0.2">
      <c r="A149" t="s">
        <v>32</v>
      </c>
      <c r="B149" s="1">
        <v>46308</v>
      </c>
      <c r="C149" t="str">
        <f t="shared" si="5"/>
        <v>tirsdag</v>
      </c>
      <c r="D149">
        <v>1.5</v>
      </c>
      <c r="E149">
        <f>VLOOKUP(A149,formler!$G$3:$H$5,2,FALSE)</f>
        <v>773</v>
      </c>
      <c r="F149">
        <f t="shared" si="7"/>
        <v>1159.5</v>
      </c>
    </row>
    <row r="150" spans="1:10" x14ac:dyDescent="0.2">
      <c r="A150" t="s">
        <v>34</v>
      </c>
      <c r="B150" s="1">
        <v>46310</v>
      </c>
      <c r="C150" t="str">
        <f t="shared" si="5"/>
        <v>torsdag</v>
      </c>
      <c r="D150">
        <v>1</v>
      </c>
      <c r="E150">
        <f>VLOOKUP(A150,formler!$G$3:$H$5,2,FALSE)</f>
        <v>1000</v>
      </c>
      <c r="F150">
        <f t="shared" si="7"/>
        <v>1000</v>
      </c>
    </row>
    <row r="151" spans="1:10" x14ac:dyDescent="0.2">
      <c r="A151" t="s">
        <v>32</v>
      </c>
      <c r="B151" s="1">
        <v>46310</v>
      </c>
      <c r="C151" t="str">
        <f t="shared" si="5"/>
        <v>torsdag</v>
      </c>
      <c r="D151">
        <v>1</v>
      </c>
      <c r="E151">
        <f>VLOOKUP(A151,formler!$G$3:$H$5,2,FALSE)</f>
        <v>773</v>
      </c>
      <c r="F151">
        <f t="shared" si="7"/>
        <v>773</v>
      </c>
    </row>
    <row r="152" spans="1:10" x14ac:dyDescent="0.2">
      <c r="A152" t="s">
        <v>33</v>
      </c>
      <c r="B152" s="1">
        <v>46314</v>
      </c>
      <c r="C152" t="str">
        <f t="shared" si="5"/>
        <v>mandag</v>
      </c>
      <c r="D152">
        <v>1</v>
      </c>
      <c r="E152">
        <f>VLOOKUP(A152,formler!$G$3:$H$5,2,FALSE)</f>
        <v>1000</v>
      </c>
      <c r="F152">
        <f t="shared" si="7"/>
        <v>1000</v>
      </c>
    </row>
    <row r="153" spans="1:10" x14ac:dyDescent="0.2">
      <c r="A153" t="s">
        <v>32</v>
      </c>
      <c r="B153" s="1">
        <v>46315</v>
      </c>
      <c r="C153" t="str">
        <f t="shared" si="5"/>
        <v>tirsdag</v>
      </c>
      <c r="D153">
        <v>1.5</v>
      </c>
      <c r="E153">
        <f>VLOOKUP(A153,formler!$G$3:$H$5,2,FALSE)</f>
        <v>773</v>
      </c>
      <c r="F153">
        <f t="shared" si="7"/>
        <v>1159.5</v>
      </c>
    </row>
    <row r="154" spans="1:10" x14ac:dyDescent="0.2">
      <c r="A154" t="s">
        <v>34</v>
      </c>
      <c r="B154" s="1">
        <v>46317</v>
      </c>
      <c r="C154" t="str">
        <f t="shared" si="5"/>
        <v>torsdag</v>
      </c>
      <c r="D154">
        <v>1</v>
      </c>
      <c r="E154">
        <f>VLOOKUP(A154,formler!$G$3:$H$5,2,FALSE)</f>
        <v>1000</v>
      </c>
      <c r="F154">
        <f t="shared" si="7"/>
        <v>1000</v>
      </c>
    </row>
    <row r="155" spans="1:10" x14ac:dyDescent="0.2">
      <c r="A155" t="s">
        <v>32</v>
      </c>
      <c r="B155" s="1">
        <v>46317</v>
      </c>
      <c r="C155" t="str">
        <f t="shared" si="5"/>
        <v>torsdag</v>
      </c>
      <c r="D155">
        <v>1</v>
      </c>
      <c r="E155">
        <f>VLOOKUP(A155,formler!$G$3:$H$5,2,FALSE)</f>
        <v>773</v>
      </c>
      <c r="F155">
        <f t="shared" si="7"/>
        <v>773</v>
      </c>
    </row>
    <row r="156" spans="1:10" x14ac:dyDescent="0.2">
      <c r="A156" t="s">
        <v>33</v>
      </c>
      <c r="B156" s="1">
        <v>46321</v>
      </c>
      <c r="C156" t="str">
        <f t="shared" si="5"/>
        <v>mandag</v>
      </c>
      <c r="D156">
        <v>1</v>
      </c>
      <c r="E156">
        <f>VLOOKUP(A156,formler!$G$3:$H$5,2,FALSE)</f>
        <v>1000</v>
      </c>
      <c r="F156">
        <f t="shared" si="7"/>
        <v>1000</v>
      </c>
    </row>
    <row r="157" spans="1:10" x14ac:dyDescent="0.2">
      <c r="A157" t="s">
        <v>32</v>
      </c>
      <c r="B157" s="1">
        <v>46322</v>
      </c>
      <c r="C157" t="str">
        <f t="shared" si="5"/>
        <v>tirsdag</v>
      </c>
      <c r="D157">
        <v>2.5</v>
      </c>
      <c r="E157">
        <f>VLOOKUP(A157,formler!$G$3:$H$5,2,FALSE)</f>
        <v>773</v>
      </c>
      <c r="F157">
        <f t="shared" si="7"/>
        <v>1932.5</v>
      </c>
      <c r="I157" t="s">
        <v>33</v>
      </c>
      <c r="J157">
        <f ca="1">SUMIF(A142:F159,I157,F142:F159)</f>
        <v>4000</v>
      </c>
    </row>
    <row r="158" spans="1:10" x14ac:dyDescent="0.2">
      <c r="A158" t="s">
        <v>34</v>
      </c>
      <c r="B158" s="1">
        <v>46324</v>
      </c>
      <c r="C158" t="str">
        <f t="shared" si="5"/>
        <v>torsdag</v>
      </c>
      <c r="D158">
        <v>1</v>
      </c>
      <c r="E158">
        <f>VLOOKUP(A158,formler!$G$3:$H$5,2,FALSE)</f>
        <v>1000</v>
      </c>
      <c r="F158">
        <f t="shared" si="7"/>
        <v>1000</v>
      </c>
      <c r="I158" t="s">
        <v>32</v>
      </c>
      <c r="J158">
        <f ca="1">SUMIF(A142:F159,I158,F142:F159)</f>
        <v>10049</v>
      </c>
    </row>
    <row r="159" spans="1:10" ht="15.75" thickBot="1" x14ac:dyDescent="0.25">
      <c r="A159" s="3" t="s">
        <v>32</v>
      </c>
      <c r="B159" s="2">
        <v>46324</v>
      </c>
      <c r="C159" s="3" t="str">
        <f t="shared" si="5"/>
        <v>torsdag</v>
      </c>
      <c r="D159" s="3">
        <v>1</v>
      </c>
      <c r="E159" s="3">
        <f>VLOOKUP(A159,formler!$G$3:$H$5,2,FALSE)</f>
        <v>773</v>
      </c>
      <c r="F159" s="3">
        <f t="shared" si="7"/>
        <v>773</v>
      </c>
      <c r="G159" s="3"/>
      <c r="H159" s="11">
        <f>SUM(F142:F159)</f>
        <v>19049</v>
      </c>
      <c r="I159" s="3" t="s">
        <v>34</v>
      </c>
      <c r="J159" s="3">
        <f ca="1">SUMIF(A142:F159,I159,F142:F159)</f>
        <v>5000</v>
      </c>
    </row>
    <row r="160" spans="1:10" x14ac:dyDescent="0.2">
      <c r="A160" t="s">
        <v>33</v>
      </c>
      <c r="B160" s="1">
        <v>46328</v>
      </c>
      <c r="C160" t="str">
        <f t="shared" si="5"/>
        <v>mandag</v>
      </c>
      <c r="D160">
        <v>1</v>
      </c>
      <c r="E160">
        <f>VLOOKUP(A160,formler!$G$3:$H$5,2,FALSE)</f>
        <v>1000</v>
      </c>
      <c r="F160">
        <f t="shared" si="7"/>
        <v>1000</v>
      </c>
    </row>
    <row r="161" spans="1:10" x14ac:dyDescent="0.2">
      <c r="A161" t="s">
        <v>32</v>
      </c>
      <c r="B161" s="1">
        <v>46329</v>
      </c>
      <c r="C161" t="str">
        <f t="shared" si="5"/>
        <v>tirsdag</v>
      </c>
      <c r="D161">
        <v>1.5</v>
      </c>
      <c r="E161">
        <f>VLOOKUP(A161,formler!$G$3:$H$5,2,FALSE)</f>
        <v>773</v>
      </c>
      <c r="F161">
        <f t="shared" si="7"/>
        <v>1159.5</v>
      </c>
    </row>
    <row r="162" spans="1:10" x14ac:dyDescent="0.2">
      <c r="A162" t="s">
        <v>34</v>
      </c>
      <c r="B162" s="1">
        <v>46331</v>
      </c>
      <c r="C162" t="str">
        <f t="shared" si="5"/>
        <v>torsdag</v>
      </c>
      <c r="D162">
        <v>1</v>
      </c>
      <c r="E162">
        <f>VLOOKUP(A162,formler!$G$3:$H$5,2,FALSE)</f>
        <v>1000</v>
      </c>
      <c r="F162">
        <f t="shared" si="7"/>
        <v>1000</v>
      </c>
    </row>
    <row r="163" spans="1:10" x14ac:dyDescent="0.2">
      <c r="A163" t="s">
        <v>32</v>
      </c>
      <c r="B163" s="1">
        <v>46331</v>
      </c>
      <c r="C163" t="str">
        <f t="shared" si="5"/>
        <v>torsdag</v>
      </c>
      <c r="D163">
        <v>1</v>
      </c>
      <c r="E163">
        <f>VLOOKUP(A163,formler!$G$3:$H$5,2,FALSE)</f>
        <v>773</v>
      </c>
      <c r="F163">
        <f t="shared" si="7"/>
        <v>773</v>
      </c>
    </row>
    <row r="164" spans="1:10" x14ac:dyDescent="0.2">
      <c r="A164" t="s">
        <v>33</v>
      </c>
      <c r="B164" s="1">
        <v>46335</v>
      </c>
      <c r="C164" t="str">
        <f t="shared" si="5"/>
        <v>mandag</v>
      </c>
      <c r="D164">
        <v>1</v>
      </c>
      <c r="E164">
        <f>VLOOKUP(A164,formler!$G$3:$H$5,2,FALSE)</f>
        <v>1000</v>
      </c>
      <c r="F164">
        <f t="shared" si="7"/>
        <v>1000</v>
      </c>
    </row>
    <row r="165" spans="1:10" x14ac:dyDescent="0.2">
      <c r="A165" t="s">
        <v>32</v>
      </c>
      <c r="B165" s="1">
        <v>46336</v>
      </c>
      <c r="C165" t="str">
        <f t="shared" si="5"/>
        <v>tirsdag</v>
      </c>
      <c r="D165">
        <v>1.5</v>
      </c>
      <c r="E165">
        <f>VLOOKUP(A165,formler!$G$3:$H$5,2,FALSE)</f>
        <v>773</v>
      </c>
      <c r="F165">
        <f t="shared" si="7"/>
        <v>1159.5</v>
      </c>
    </row>
    <row r="166" spans="1:10" x14ac:dyDescent="0.2">
      <c r="A166" t="s">
        <v>34</v>
      </c>
      <c r="B166" s="1">
        <v>46338</v>
      </c>
      <c r="C166" t="str">
        <f t="shared" si="5"/>
        <v>torsdag</v>
      </c>
      <c r="D166">
        <v>1</v>
      </c>
      <c r="E166">
        <f>VLOOKUP(A166,formler!$G$3:$H$5,2,FALSE)</f>
        <v>1000</v>
      </c>
      <c r="F166">
        <f t="shared" si="7"/>
        <v>1000</v>
      </c>
    </row>
    <row r="167" spans="1:10" x14ac:dyDescent="0.2">
      <c r="A167" t="s">
        <v>32</v>
      </c>
      <c r="B167" s="1">
        <v>46338</v>
      </c>
      <c r="C167" t="str">
        <f t="shared" si="5"/>
        <v>torsdag</v>
      </c>
      <c r="D167">
        <v>1</v>
      </c>
      <c r="E167">
        <f>VLOOKUP(A167,formler!$G$3:$H$5,2,FALSE)</f>
        <v>773</v>
      </c>
      <c r="F167">
        <f t="shared" si="7"/>
        <v>773</v>
      </c>
    </row>
    <row r="168" spans="1:10" x14ac:dyDescent="0.2">
      <c r="A168" t="s">
        <v>33</v>
      </c>
      <c r="B168" s="1">
        <v>46342</v>
      </c>
      <c r="C168" t="str">
        <f t="shared" si="5"/>
        <v>mandag</v>
      </c>
      <c r="D168">
        <v>1</v>
      </c>
      <c r="E168">
        <f>VLOOKUP(A168,formler!$G$3:$H$5,2,FALSE)</f>
        <v>1000</v>
      </c>
      <c r="F168">
        <f t="shared" si="7"/>
        <v>1000</v>
      </c>
    </row>
    <row r="169" spans="1:10" x14ac:dyDescent="0.2">
      <c r="A169" t="s">
        <v>32</v>
      </c>
      <c r="B169" s="1">
        <v>46343</v>
      </c>
      <c r="C169" t="str">
        <f t="shared" si="5"/>
        <v>tirsdag</v>
      </c>
      <c r="D169">
        <v>2.5</v>
      </c>
      <c r="E169">
        <f>VLOOKUP(A169,formler!$G$3:$H$5,2,FALSE)</f>
        <v>773</v>
      </c>
      <c r="F169">
        <f t="shared" si="7"/>
        <v>1932.5</v>
      </c>
    </row>
    <row r="170" spans="1:10" x14ac:dyDescent="0.2">
      <c r="A170" t="s">
        <v>34</v>
      </c>
      <c r="B170" s="1">
        <v>46345</v>
      </c>
      <c r="C170" t="str">
        <f t="shared" si="5"/>
        <v>torsdag</v>
      </c>
      <c r="D170">
        <v>1</v>
      </c>
      <c r="E170">
        <f>VLOOKUP(A170,formler!$G$3:$H$5,2,FALSE)</f>
        <v>1000</v>
      </c>
      <c r="F170">
        <f t="shared" si="7"/>
        <v>1000</v>
      </c>
    </row>
    <row r="171" spans="1:10" x14ac:dyDescent="0.2">
      <c r="A171" t="s">
        <v>32</v>
      </c>
      <c r="B171" s="1">
        <v>46345</v>
      </c>
      <c r="C171" t="str">
        <f t="shared" si="5"/>
        <v>torsdag</v>
      </c>
      <c r="D171">
        <v>1</v>
      </c>
      <c r="E171">
        <f>VLOOKUP(A171,formler!$G$3:$H$5,2,FALSE)</f>
        <v>773</v>
      </c>
      <c r="F171">
        <f t="shared" si="7"/>
        <v>773</v>
      </c>
    </row>
    <row r="172" spans="1:10" x14ac:dyDescent="0.2">
      <c r="A172" t="s">
        <v>33</v>
      </c>
      <c r="B172" s="1">
        <v>46349</v>
      </c>
      <c r="C172" t="str">
        <f t="shared" ref="C172:C187" si="8">TEXT(B172,"dddd")</f>
        <v>mandag</v>
      </c>
      <c r="D172">
        <v>1</v>
      </c>
      <c r="E172">
        <f>VLOOKUP(A172,formler!$G$3:$H$5,2,FALSE)</f>
        <v>1000</v>
      </c>
      <c r="F172">
        <f t="shared" si="7"/>
        <v>1000</v>
      </c>
    </row>
    <row r="173" spans="1:10" x14ac:dyDescent="0.2">
      <c r="A173" t="s">
        <v>32</v>
      </c>
      <c r="B173" s="1">
        <v>46350</v>
      </c>
      <c r="C173" t="str">
        <f t="shared" si="8"/>
        <v>tirsdag</v>
      </c>
      <c r="D173">
        <v>1.5</v>
      </c>
      <c r="E173">
        <f>VLOOKUP(A173,formler!$G$3:$H$5,2,FALSE)</f>
        <v>773</v>
      </c>
      <c r="F173">
        <f t="shared" ref="F173:F187" si="9">D173*E173</f>
        <v>1159.5</v>
      </c>
    </row>
    <row r="174" spans="1:10" x14ac:dyDescent="0.2">
      <c r="A174" t="s">
        <v>34</v>
      </c>
      <c r="B174" s="1">
        <v>46352</v>
      </c>
      <c r="C174" t="str">
        <f t="shared" si="8"/>
        <v>torsdag</v>
      </c>
      <c r="D174">
        <v>1</v>
      </c>
      <c r="E174">
        <f>VLOOKUP(A174,formler!$G$3:$H$5,2,FALSE)</f>
        <v>1000</v>
      </c>
      <c r="F174">
        <f t="shared" si="9"/>
        <v>1000</v>
      </c>
      <c r="I174" t="s">
        <v>33</v>
      </c>
      <c r="J174">
        <f ca="1">SUMIF(A160:F176,I174,F160:F176)</f>
        <v>5000</v>
      </c>
    </row>
    <row r="175" spans="1:10" x14ac:dyDescent="0.2">
      <c r="A175" t="s">
        <v>32</v>
      </c>
      <c r="B175" s="1">
        <v>46352</v>
      </c>
      <c r="C175" t="str">
        <f t="shared" si="8"/>
        <v>torsdag</v>
      </c>
      <c r="D175">
        <v>1</v>
      </c>
      <c r="E175">
        <f>VLOOKUP(A175,formler!$G$3:$H$5,2,FALSE)</f>
        <v>773</v>
      </c>
      <c r="F175">
        <f t="shared" si="9"/>
        <v>773</v>
      </c>
      <c r="I175" t="s">
        <v>32</v>
      </c>
      <c r="J175">
        <f ca="1">SUMIF(A160:F176,I175,F160:F176)</f>
        <v>8503</v>
      </c>
    </row>
    <row r="176" spans="1:10" ht="15.75" thickBot="1" x14ac:dyDescent="0.25">
      <c r="A176" s="3" t="s">
        <v>33</v>
      </c>
      <c r="B176" s="2">
        <v>46356</v>
      </c>
      <c r="C176" s="3" t="str">
        <f t="shared" si="8"/>
        <v>mandag</v>
      </c>
      <c r="D176" s="3">
        <v>1</v>
      </c>
      <c r="E176" s="3">
        <f>VLOOKUP(A176,formler!$G$3:$H$5,2,FALSE)</f>
        <v>1000</v>
      </c>
      <c r="F176" s="3">
        <f t="shared" si="9"/>
        <v>1000</v>
      </c>
      <c r="G176" s="3"/>
      <c r="H176" s="11">
        <f>SUM(F160:F176)</f>
        <v>17503</v>
      </c>
      <c r="I176" s="3" t="s">
        <v>34</v>
      </c>
      <c r="J176" s="3">
        <f ca="1">SUMIF(A160:F176,I176,F160:F176)</f>
        <v>4000</v>
      </c>
    </row>
    <row r="177" spans="1:13" x14ac:dyDescent="0.2">
      <c r="A177" t="s">
        <v>32</v>
      </c>
      <c r="B177" s="1">
        <v>46357</v>
      </c>
      <c r="C177" t="str">
        <f t="shared" si="8"/>
        <v>tirsdag</v>
      </c>
      <c r="D177">
        <v>1.5</v>
      </c>
      <c r="E177">
        <f>VLOOKUP(A177,formler!$G$3:$H$5,2,FALSE)</f>
        <v>773</v>
      </c>
      <c r="F177">
        <f t="shared" si="9"/>
        <v>1159.5</v>
      </c>
    </row>
    <row r="178" spans="1:13" x14ac:dyDescent="0.2">
      <c r="A178" t="s">
        <v>34</v>
      </c>
      <c r="B178" s="1">
        <v>46359</v>
      </c>
      <c r="C178" t="str">
        <f t="shared" si="8"/>
        <v>torsdag</v>
      </c>
      <c r="D178">
        <v>1</v>
      </c>
      <c r="E178">
        <f>VLOOKUP(A178,formler!$G$3:$H$5,2,FALSE)</f>
        <v>1000</v>
      </c>
      <c r="F178">
        <f t="shared" si="9"/>
        <v>1000</v>
      </c>
    </row>
    <row r="179" spans="1:13" x14ac:dyDescent="0.2">
      <c r="A179" t="s">
        <v>32</v>
      </c>
      <c r="B179" s="1">
        <v>46359</v>
      </c>
      <c r="C179" t="str">
        <f t="shared" si="8"/>
        <v>torsdag</v>
      </c>
      <c r="D179">
        <v>1</v>
      </c>
      <c r="E179">
        <f>VLOOKUP(A179,formler!$G$3:$H$5,2,FALSE)</f>
        <v>773</v>
      </c>
      <c r="F179">
        <f t="shared" si="9"/>
        <v>773</v>
      </c>
    </row>
    <row r="180" spans="1:13" x14ac:dyDescent="0.2">
      <c r="A180" t="s">
        <v>33</v>
      </c>
      <c r="B180" s="1">
        <v>46363</v>
      </c>
      <c r="C180" t="str">
        <f t="shared" si="8"/>
        <v>mandag</v>
      </c>
      <c r="D180">
        <v>1</v>
      </c>
      <c r="E180">
        <f>VLOOKUP(A180,formler!$G$3:$H$5,2,FALSE)</f>
        <v>1000</v>
      </c>
      <c r="F180">
        <f t="shared" si="9"/>
        <v>1000</v>
      </c>
    </row>
    <row r="181" spans="1:13" x14ac:dyDescent="0.2">
      <c r="A181" t="s">
        <v>32</v>
      </c>
      <c r="B181" s="1">
        <v>46364</v>
      </c>
      <c r="C181" t="str">
        <f t="shared" si="8"/>
        <v>tirsdag</v>
      </c>
      <c r="D181">
        <v>2.5</v>
      </c>
      <c r="E181">
        <f>VLOOKUP(A181,formler!$G$3:$H$5,2,FALSE)</f>
        <v>773</v>
      </c>
      <c r="F181">
        <f t="shared" si="9"/>
        <v>1932.5</v>
      </c>
    </row>
    <row r="182" spans="1:13" x14ac:dyDescent="0.2">
      <c r="A182" t="s">
        <v>34</v>
      </c>
      <c r="B182" s="1">
        <v>46366</v>
      </c>
      <c r="C182" t="str">
        <f t="shared" si="8"/>
        <v>torsdag</v>
      </c>
      <c r="D182">
        <v>1</v>
      </c>
      <c r="E182">
        <f>VLOOKUP(A182,formler!$G$3:$H$5,2,FALSE)</f>
        <v>1000</v>
      </c>
      <c r="F182">
        <f t="shared" si="9"/>
        <v>1000</v>
      </c>
    </row>
    <row r="183" spans="1:13" x14ac:dyDescent="0.2">
      <c r="A183" t="s">
        <v>32</v>
      </c>
      <c r="B183" s="1">
        <v>46366</v>
      </c>
      <c r="C183" t="str">
        <f t="shared" si="8"/>
        <v>torsdag</v>
      </c>
      <c r="D183">
        <v>1</v>
      </c>
      <c r="E183">
        <f>VLOOKUP(A183,formler!$G$3:$H$5,2,FALSE)</f>
        <v>773</v>
      </c>
      <c r="F183">
        <f t="shared" si="9"/>
        <v>773</v>
      </c>
    </row>
    <row r="184" spans="1:13" x14ac:dyDescent="0.2">
      <c r="A184" t="s">
        <v>33</v>
      </c>
      <c r="B184" s="1">
        <v>46370</v>
      </c>
      <c r="C184" t="str">
        <f t="shared" si="8"/>
        <v>mandag</v>
      </c>
      <c r="D184">
        <v>1</v>
      </c>
      <c r="E184">
        <f>VLOOKUP(A184,formler!$G$3:$H$5,2,FALSE)</f>
        <v>1000</v>
      </c>
      <c r="F184">
        <f t="shared" si="9"/>
        <v>1000</v>
      </c>
    </row>
    <row r="185" spans="1:13" x14ac:dyDescent="0.2">
      <c r="A185" t="s">
        <v>32</v>
      </c>
      <c r="B185" s="1">
        <v>46371</v>
      </c>
      <c r="C185" t="str">
        <f t="shared" si="8"/>
        <v>tirsdag</v>
      </c>
      <c r="D185">
        <v>1.5</v>
      </c>
      <c r="E185">
        <f>VLOOKUP(A185,formler!$G$3:$H$5,2,FALSE)</f>
        <v>773</v>
      </c>
      <c r="F185">
        <f t="shared" si="9"/>
        <v>1159.5</v>
      </c>
      <c r="I185" t="s">
        <v>33</v>
      </c>
      <c r="J185">
        <f ca="1">SUMIF(A177:F187,I185,F177:F187)</f>
        <v>2000</v>
      </c>
      <c r="L185" s="12">
        <v>11625</v>
      </c>
      <c r="M185" s="5" t="s">
        <v>36</v>
      </c>
    </row>
    <row r="186" spans="1:13" x14ac:dyDescent="0.2">
      <c r="A186" t="s">
        <v>34</v>
      </c>
      <c r="B186" s="1">
        <v>46373</v>
      </c>
      <c r="C186" t="str">
        <f t="shared" si="8"/>
        <v>torsdag</v>
      </c>
      <c r="D186">
        <v>1</v>
      </c>
      <c r="E186">
        <f>VLOOKUP(A186,formler!$G$3:$H$5,2,FALSE)</f>
        <v>1000</v>
      </c>
      <c r="F186">
        <f t="shared" si="9"/>
        <v>1000</v>
      </c>
      <c r="I186" t="s">
        <v>32</v>
      </c>
      <c r="J186">
        <f ca="1">SUMIF(A177:F187,I186,F177:F187)</f>
        <v>6570.5</v>
      </c>
    </row>
    <row r="187" spans="1:13" ht="15.75" thickBot="1" x14ac:dyDescent="0.25">
      <c r="A187" s="3" t="s">
        <v>32</v>
      </c>
      <c r="B187" s="2">
        <v>46373</v>
      </c>
      <c r="C187" s="3" t="str">
        <f t="shared" si="8"/>
        <v>torsdag</v>
      </c>
      <c r="D187" s="3">
        <v>1</v>
      </c>
      <c r="E187" s="3">
        <f>VLOOKUP(A187,formler!$G$3:$H$5,2,FALSE)</f>
        <v>773</v>
      </c>
      <c r="F187" s="3">
        <f t="shared" si="9"/>
        <v>773</v>
      </c>
      <c r="G187" s="3"/>
      <c r="H187" s="11">
        <f>SUM(F177:F187)</f>
        <v>11570.5</v>
      </c>
      <c r="I187" s="3" t="s">
        <v>34</v>
      </c>
      <c r="J187" s="3">
        <f ca="1">SUMIF(A177:F187,I187,F177:F187)</f>
        <v>3000</v>
      </c>
    </row>
    <row r="188" spans="1:13" x14ac:dyDescent="0.2">
      <c r="D188">
        <f>SUM(D109:D187)</f>
        <v>94</v>
      </c>
      <c r="F188">
        <f>SUM(F108:F187)</f>
        <v>82288</v>
      </c>
      <c r="H188">
        <f>SUM(H187,H176,H159,H141,H124)</f>
        <v>82288</v>
      </c>
      <c r="J188">
        <f ca="1">SUM(J2:J187)</f>
        <v>176146.5</v>
      </c>
      <c r="L188" s="5">
        <f>SUM(L42:L187)</f>
        <v>92604</v>
      </c>
      <c r="M188" s="5" t="s">
        <v>37</v>
      </c>
    </row>
    <row r="190" spans="1:13" x14ac:dyDescent="0.2">
      <c r="H190">
        <f>F188+F104</f>
        <v>176146.5</v>
      </c>
    </row>
    <row r="192" spans="1:13" x14ac:dyDescent="0.2">
      <c r="I192" t="s">
        <v>38</v>
      </c>
    </row>
    <row r="193" spans="9:10" x14ac:dyDescent="0.2">
      <c r="I193" t="s">
        <v>33</v>
      </c>
      <c r="J193">
        <f ca="1">SUMIF(A2:F187,I193,F2:F187)</f>
        <v>41000</v>
      </c>
    </row>
    <row r="194" spans="9:10" x14ac:dyDescent="0.2">
      <c r="I194" t="s">
        <v>32</v>
      </c>
      <c r="J194">
        <f ca="1">SUMIF(A2:F187,I194,F2:F187)</f>
        <v>93146.5</v>
      </c>
    </row>
    <row r="195" spans="9:10" ht="15.75" thickBot="1" x14ac:dyDescent="0.25">
      <c r="I195" s="3" t="s">
        <v>34</v>
      </c>
      <c r="J195">
        <f ca="1">SUMIF(A2:F187,I195,F2:F187)</f>
        <v>42000</v>
      </c>
    </row>
    <row r="196" spans="9:10" x14ac:dyDescent="0.2">
      <c r="J196">
        <f ca="1">SUM(J193:J195)</f>
        <v>176146.5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opLeftCell="A61" workbookViewId="0">
      <selection activeCell="G96" sqref="G96"/>
    </sheetView>
  </sheetViews>
  <sheetFormatPr defaultColWidth="10.76171875" defaultRowHeight="15" x14ac:dyDescent="0.2"/>
  <cols>
    <col min="6" max="6" width="11.43359375" bestFit="1" customWidth="1"/>
    <col min="16" max="16" width="16.41015625" customWidth="1"/>
  </cols>
  <sheetData>
    <row r="1" spans="1:13" x14ac:dyDescent="0.2">
      <c r="A1" t="s">
        <v>0</v>
      </c>
      <c r="B1" t="s">
        <v>7</v>
      </c>
      <c r="C1" t="s">
        <v>2</v>
      </c>
      <c r="D1" t="s">
        <v>5</v>
      </c>
      <c r="E1" t="s">
        <v>4</v>
      </c>
      <c r="F1" t="s">
        <v>16</v>
      </c>
      <c r="G1" t="s">
        <v>15</v>
      </c>
      <c r="I1" t="s">
        <v>6</v>
      </c>
      <c r="J1" t="s">
        <v>3</v>
      </c>
    </row>
    <row r="2" spans="1:13" x14ac:dyDescent="0.2">
      <c r="A2" s="1">
        <v>45664</v>
      </c>
      <c r="B2" t="str">
        <f>VLOOKUP(formler!D3,formler!$A$2:$B$8,2,FALSE)</f>
        <v>Tirsdag</v>
      </c>
      <c r="C2">
        <v>1.5</v>
      </c>
      <c r="D2">
        <v>750</v>
      </c>
      <c r="E2">
        <f>C2*D2</f>
        <v>1125</v>
      </c>
    </row>
    <row r="3" spans="1:13" x14ac:dyDescent="0.2">
      <c r="A3" s="1">
        <v>45666</v>
      </c>
      <c r="B3" t="str">
        <f>VLOOKUP(formler!D4,formler!$A$2:$B$8,2,FALSE)</f>
        <v>Torsdag</v>
      </c>
      <c r="C3">
        <v>1</v>
      </c>
      <c r="D3">
        <v>750</v>
      </c>
      <c r="E3">
        <f t="shared" ref="E3:E5" si="0">C3*D3</f>
        <v>750</v>
      </c>
    </row>
    <row r="4" spans="1:13" x14ac:dyDescent="0.2">
      <c r="A4" s="1">
        <v>45671</v>
      </c>
      <c r="B4" t="str">
        <f>VLOOKUP(formler!D5,formler!$A$2:$B$8,2,FALSE)</f>
        <v>Tirsdag</v>
      </c>
      <c r="C4">
        <v>1.5</v>
      </c>
      <c r="D4">
        <v>750</v>
      </c>
      <c r="E4">
        <f t="shared" si="0"/>
        <v>1125</v>
      </c>
    </row>
    <row r="5" spans="1:13" x14ac:dyDescent="0.2">
      <c r="A5" s="1">
        <v>45673</v>
      </c>
      <c r="B5" t="str">
        <f>VLOOKUP(formler!D6,formler!$A$2:$B$8,2,FALSE)</f>
        <v>Torsdag</v>
      </c>
      <c r="C5">
        <v>1</v>
      </c>
      <c r="D5">
        <v>750</v>
      </c>
      <c r="E5">
        <f t="shared" si="0"/>
        <v>750</v>
      </c>
    </row>
    <row r="6" spans="1:13" x14ac:dyDescent="0.2">
      <c r="A6" s="1">
        <v>45678</v>
      </c>
      <c r="B6" t="str">
        <f>VLOOKUP(formler!D7,formler!$A$2:$B$8,2,FALSE)</f>
        <v>Tirsdag</v>
      </c>
      <c r="C6">
        <v>2.5</v>
      </c>
      <c r="D6">
        <v>750</v>
      </c>
      <c r="E6">
        <f>C6*D6</f>
        <v>1875</v>
      </c>
    </row>
    <row r="7" spans="1:13" x14ac:dyDescent="0.2">
      <c r="A7" s="1">
        <v>45680</v>
      </c>
      <c r="B7" t="str">
        <f>VLOOKUP(formler!D8,formler!$A$2:$B$8,2,FALSE)</f>
        <v>Torsdag</v>
      </c>
      <c r="C7">
        <v>1</v>
      </c>
      <c r="D7">
        <v>750</v>
      </c>
      <c r="E7">
        <f t="shared" ref="E7:E11" si="1">C7*D7</f>
        <v>750</v>
      </c>
      <c r="M7">
        <f>SUM(E2,E4,E8)</f>
        <v>3375</v>
      </c>
    </row>
    <row r="8" spans="1:13" x14ac:dyDescent="0.2">
      <c r="A8" s="1">
        <v>45685</v>
      </c>
      <c r="B8" t="str">
        <f>VLOOKUP(formler!D9,formler!$A$2:$B$8,2,FALSE)</f>
        <v>Tirsdag</v>
      </c>
      <c r="C8">
        <v>1.5</v>
      </c>
      <c r="D8">
        <v>750</v>
      </c>
      <c r="E8">
        <f t="shared" si="1"/>
        <v>1125</v>
      </c>
    </row>
    <row r="9" spans="1:13" ht="15.75" thickBot="1" x14ac:dyDescent="0.25">
      <c r="A9" s="2">
        <v>45687</v>
      </c>
      <c r="B9" s="3" t="str">
        <f>VLOOKUP(formler!D10,formler!$A$2:$B$8,2,FALSE)</f>
        <v>Torsdag</v>
      </c>
      <c r="C9" s="3">
        <v>1</v>
      </c>
      <c r="D9" s="3">
        <v>750</v>
      </c>
      <c r="E9" s="3">
        <f t="shared" si="1"/>
        <v>750</v>
      </c>
      <c r="F9" s="3"/>
      <c r="G9" s="3">
        <f>SUM(E2:E9)</f>
        <v>8250</v>
      </c>
      <c r="H9" s="3"/>
      <c r="I9" s="3"/>
      <c r="J9" s="3"/>
    </row>
    <row r="10" spans="1:13" x14ac:dyDescent="0.2">
      <c r="A10" s="1">
        <v>45692</v>
      </c>
      <c r="B10" t="s">
        <v>9</v>
      </c>
      <c r="C10">
        <v>2.5</v>
      </c>
      <c r="D10">
        <v>750</v>
      </c>
      <c r="E10">
        <f t="shared" si="1"/>
        <v>1875</v>
      </c>
    </row>
    <row r="11" spans="1:13" x14ac:dyDescent="0.2">
      <c r="A11" s="1">
        <v>45694</v>
      </c>
      <c r="B11" t="str">
        <f>VLOOKUP(formler!D12,formler!$A$2:$B$8,2,FALSE)</f>
        <v>Torsdag</v>
      </c>
      <c r="C11">
        <v>1</v>
      </c>
      <c r="D11">
        <v>750</v>
      </c>
      <c r="E11">
        <f t="shared" si="1"/>
        <v>750</v>
      </c>
    </row>
    <row r="12" spans="1:13" x14ac:dyDescent="0.2">
      <c r="A12" s="6">
        <v>45699</v>
      </c>
      <c r="B12" s="7" t="str">
        <f>VLOOKUP(formler!D13,formler!$A$2:$B$8,2,FALSE)</f>
        <v>Tirsdag</v>
      </c>
      <c r="C12" s="7">
        <v>0</v>
      </c>
      <c r="D12" s="7">
        <v>750</v>
      </c>
      <c r="E12" s="7">
        <f t="shared" ref="E12:E19" si="2">C12*D12</f>
        <v>0</v>
      </c>
      <c r="F12" s="5" t="s">
        <v>21</v>
      </c>
      <c r="G12" t="s">
        <v>22</v>
      </c>
    </row>
    <row r="13" spans="1:13" x14ac:dyDescent="0.2">
      <c r="A13" s="1">
        <v>45701</v>
      </c>
      <c r="B13" t="str">
        <f>VLOOKUP(formler!D14,formler!$A$2:$B$8,2,FALSE)</f>
        <v>Torsdag</v>
      </c>
      <c r="C13">
        <v>1</v>
      </c>
      <c r="D13">
        <v>750</v>
      </c>
      <c r="E13">
        <f t="shared" si="2"/>
        <v>750</v>
      </c>
    </row>
    <row r="14" spans="1:13" x14ac:dyDescent="0.2">
      <c r="A14" s="1">
        <v>45706</v>
      </c>
      <c r="B14" t="str">
        <f>VLOOKUP(formler!D15,formler!$A$2:$B$8,2,FALSE)</f>
        <v>Tirsdag</v>
      </c>
      <c r="C14">
        <v>1.5</v>
      </c>
      <c r="D14">
        <v>750</v>
      </c>
      <c r="E14">
        <f t="shared" si="2"/>
        <v>1125</v>
      </c>
    </row>
    <row r="15" spans="1:13" x14ac:dyDescent="0.2">
      <c r="A15" s="1">
        <v>45708</v>
      </c>
      <c r="B15" t="str">
        <f>VLOOKUP(formler!D16,formler!$A$2:$B$8,2,FALSE)</f>
        <v>Torsdag</v>
      </c>
      <c r="C15">
        <v>1</v>
      </c>
      <c r="D15">
        <v>750</v>
      </c>
      <c r="E15">
        <f t="shared" si="2"/>
        <v>750</v>
      </c>
    </row>
    <row r="16" spans="1:13" x14ac:dyDescent="0.2">
      <c r="A16" s="1">
        <v>45713</v>
      </c>
      <c r="B16" t="str">
        <f>VLOOKUP(formler!D17,formler!$A$2:$B$8,2,FALSE)</f>
        <v>Tirsdag</v>
      </c>
      <c r="C16">
        <v>2.5</v>
      </c>
      <c r="D16">
        <v>750</v>
      </c>
      <c r="E16">
        <f t="shared" si="2"/>
        <v>1875</v>
      </c>
    </row>
    <row r="17" spans="1:16" ht="15.75" thickBot="1" x14ac:dyDescent="0.25">
      <c r="A17" s="2">
        <v>45715</v>
      </c>
      <c r="B17" s="3" t="str">
        <f>VLOOKUP(formler!D18,formler!$A$2:$B$8,2,FALSE)</f>
        <v>Torsdag</v>
      </c>
      <c r="C17" s="3">
        <v>1</v>
      </c>
      <c r="D17" s="3">
        <v>750</v>
      </c>
      <c r="E17" s="3">
        <f t="shared" si="2"/>
        <v>750</v>
      </c>
      <c r="F17" s="3"/>
      <c r="G17" s="3">
        <f>SUM(E10:E17)</f>
        <v>7875</v>
      </c>
      <c r="H17" s="3"/>
      <c r="I17" s="3"/>
      <c r="J17" s="3"/>
      <c r="P17">
        <f>3000+1875+3375</f>
        <v>8250</v>
      </c>
    </row>
    <row r="18" spans="1:16" x14ac:dyDescent="0.2">
      <c r="A18" s="1">
        <v>45720</v>
      </c>
      <c r="B18" t="str">
        <f>VLOOKUP(formler!D19,formler!$A$2:$B$8,2,FALSE)</f>
        <v>Tirsdag</v>
      </c>
      <c r="C18">
        <v>1.5</v>
      </c>
      <c r="D18">
        <v>750</v>
      </c>
      <c r="E18">
        <f t="shared" si="2"/>
        <v>1125</v>
      </c>
    </row>
    <row r="19" spans="1:16" x14ac:dyDescent="0.2">
      <c r="A19" s="1">
        <v>45722</v>
      </c>
      <c r="B19" t="str">
        <f>VLOOKUP(formler!D20,formler!$A$2:$B$8,2,FALSE)</f>
        <v>Torsdag</v>
      </c>
      <c r="C19">
        <v>1</v>
      </c>
      <c r="D19">
        <v>750</v>
      </c>
      <c r="E19">
        <f t="shared" si="2"/>
        <v>750</v>
      </c>
      <c r="L19">
        <v>3000</v>
      </c>
    </row>
    <row r="20" spans="1:16" x14ac:dyDescent="0.2">
      <c r="A20" s="1">
        <v>45727</v>
      </c>
      <c r="B20" t="str">
        <f>VLOOKUP(formler!D21,formler!$A$2:$B$8,2,FALSE)</f>
        <v>Tirsdag</v>
      </c>
      <c r="C20">
        <v>1.5</v>
      </c>
      <c r="D20">
        <v>750</v>
      </c>
      <c r="E20">
        <f t="shared" ref="E20:E41" si="3">C20*D20</f>
        <v>1125</v>
      </c>
      <c r="L20">
        <v>3375</v>
      </c>
    </row>
    <row r="21" spans="1:16" x14ac:dyDescent="0.2">
      <c r="A21" s="1">
        <v>45729</v>
      </c>
      <c r="B21" t="str">
        <f>VLOOKUP(formler!D22,formler!$A$2:$B$8,2,FALSE)</f>
        <v>Torsdag</v>
      </c>
      <c r="C21">
        <v>1</v>
      </c>
      <c r="D21">
        <v>750</v>
      </c>
      <c r="E21">
        <f t="shared" si="3"/>
        <v>750</v>
      </c>
      <c r="L21">
        <v>1875</v>
      </c>
    </row>
    <row r="22" spans="1:16" x14ac:dyDescent="0.2">
      <c r="A22" s="1">
        <v>45734</v>
      </c>
      <c r="B22" t="str">
        <f>VLOOKUP(formler!D23,formler!$A$2:$B$8,2,FALSE)</f>
        <v>Tirsdag</v>
      </c>
      <c r="C22">
        <v>2.5</v>
      </c>
      <c r="D22">
        <v>750</v>
      </c>
      <c r="E22">
        <f t="shared" si="3"/>
        <v>1875</v>
      </c>
    </row>
    <row r="23" spans="1:16" x14ac:dyDescent="0.2">
      <c r="A23" s="1">
        <v>45736</v>
      </c>
      <c r="B23" t="str">
        <f>VLOOKUP(formler!D24,formler!$A$2:$B$8,2,FALSE)</f>
        <v>Torsdag</v>
      </c>
      <c r="C23">
        <v>1</v>
      </c>
      <c r="D23">
        <v>750</v>
      </c>
      <c r="E23">
        <f t="shared" si="3"/>
        <v>750</v>
      </c>
    </row>
    <row r="24" spans="1:16" x14ac:dyDescent="0.2">
      <c r="A24" s="1">
        <v>45741</v>
      </c>
      <c r="B24" t="str">
        <f>VLOOKUP(formler!D25,formler!$A$2:$B$8,2,FALSE)</f>
        <v>Tirsdag</v>
      </c>
      <c r="C24">
        <v>1.5</v>
      </c>
      <c r="D24">
        <v>750</v>
      </c>
      <c r="E24">
        <f t="shared" si="3"/>
        <v>1125</v>
      </c>
    </row>
    <row r="25" spans="1:16" ht="15.75" thickBot="1" x14ac:dyDescent="0.25">
      <c r="A25" s="2">
        <v>45743</v>
      </c>
      <c r="B25" s="3" t="str">
        <f>VLOOKUP(formler!D26,formler!$A$2:$B$8,2,FALSE)</f>
        <v>Torsdag</v>
      </c>
      <c r="C25" s="3">
        <v>1</v>
      </c>
      <c r="D25" s="3">
        <v>750</v>
      </c>
      <c r="E25" s="3">
        <f t="shared" si="3"/>
        <v>750</v>
      </c>
      <c r="F25" s="3"/>
      <c r="G25" s="3">
        <f>SUM(E18:E25)</f>
        <v>8250</v>
      </c>
      <c r="H25" s="3"/>
      <c r="I25" s="3"/>
      <c r="J25" s="3"/>
    </row>
    <row r="26" spans="1:16" x14ac:dyDescent="0.2">
      <c r="A26" s="1">
        <v>45748</v>
      </c>
      <c r="B26" t="str">
        <f>VLOOKUP(formler!D27,formler!$A$2:$B$8,2,FALSE)</f>
        <v>Tirsdag</v>
      </c>
      <c r="C26">
        <v>1.5</v>
      </c>
      <c r="D26">
        <v>750</v>
      </c>
      <c r="E26">
        <f t="shared" si="3"/>
        <v>1125</v>
      </c>
    </row>
    <row r="27" spans="1:16" x14ac:dyDescent="0.2">
      <c r="A27" s="1">
        <v>45750</v>
      </c>
      <c r="B27" t="str">
        <f>VLOOKUP(formler!D28,formler!$A$2:$B$8,2,FALSE)</f>
        <v>Torsdag</v>
      </c>
      <c r="C27">
        <v>1</v>
      </c>
      <c r="D27">
        <v>750</v>
      </c>
      <c r="E27">
        <f t="shared" si="3"/>
        <v>750</v>
      </c>
    </row>
    <row r="28" spans="1:16" x14ac:dyDescent="0.2">
      <c r="A28" s="1">
        <v>45755</v>
      </c>
      <c r="B28" t="str">
        <f>VLOOKUP(formler!D29,formler!$A$2:$B$8,2,FALSE)</f>
        <v>Tirsdag</v>
      </c>
      <c r="C28">
        <v>2.5</v>
      </c>
      <c r="D28">
        <v>750</v>
      </c>
      <c r="E28">
        <f t="shared" si="3"/>
        <v>1875</v>
      </c>
    </row>
    <row r="29" spans="1:16" x14ac:dyDescent="0.2">
      <c r="A29" s="1">
        <v>45757</v>
      </c>
      <c r="B29" t="str">
        <f>VLOOKUP(formler!D30,formler!$A$2:$B$8,2,FALSE)</f>
        <v>Torsdag</v>
      </c>
      <c r="C29">
        <v>1</v>
      </c>
      <c r="D29">
        <v>750</v>
      </c>
      <c r="E29">
        <f t="shared" si="3"/>
        <v>750</v>
      </c>
    </row>
    <row r="30" spans="1:16" x14ac:dyDescent="0.2">
      <c r="A30" s="1">
        <v>45762</v>
      </c>
      <c r="B30" t="str">
        <f>VLOOKUP(formler!D31,formler!$A$2:$B$8,2,FALSE)</f>
        <v>Tirsdag</v>
      </c>
      <c r="C30">
        <v>0</v>
      </c>
      <c r="D30">
        <v>750</v>
      </c>
      <c r="E30">
        <f t="shared" si="3"/>
        <v>0</v>
      </c>
      <c r="F30" t="s">
        <v>17</v>
      </c>
    </row>
    <row r="31" spans="1:16" x14ac:dyDescent="0.2">
      <c r="A31" s="1">
        <v>45764</v>
      </c>
      <c r="B31" t="str">
        <f>VLOOKUP(formler!D32,formler!$A$2:$B$8,2,FALSE)</f>
        <v>Torsdag</v>
      </c>
      <c r="C31">
        <v>0</v>
      </c>
      <c r="D31">
        <v>750</v>
      </c>
      <c r="E31">
        <f t="shared" si="3"/>
        <v>0</v>
      </c>
      <c r="F31" t="s">
        <v>17</v>
      </c>
    </row>
    <row r="32" spans="1:16" x14ac:dyDescent="0.2">
      <c r="A32" s="1">
        <v>45769</v>
      </c>
      <c r="B32" t="str">
        <f>VLOOKUP(formler!D33,formler!$A$2:$B$8,2,FALSE)</f>
        <v>Tirsdag</v>
      </c>
      <c r="C32">
        <v>1.5</v>
      </c>
      <c r="D32">
        <v>750</v>
      </c>
      <c r="E32">
        <f t="shared" si="3"/>
        <v>1125</v>
      </c>
    </row>
    <row r="33" spans="1:10" x14ac:dyDescent="0.2">
      <c r="A33" s="1">
        <v>45771</v>
      </c>
      <c r="B33" t="str">
        <f>VLOOKUP(formler!D34,formler!$A$2:$B$8,2,FALSE)</f>
        <v>Torsdag</v>
      </c>
      <c r="C33">
        <v>1</v>
      </c>
      <c r="D33">
        <v>750</v>
      </c>
      <c r="E33">
        <f t="shared" si="3"/>
        <v>750</v>
      </c>
    </row>
    <row r="34" spans="1:10" ht="15.75" thickBot="1" x14ac:dyDescent="0.25">
      <c r="A34" s="2">
        <v>45776</v>
      </c>
      <c r="B34" s="3" t="str">
        <f>VLOOKUP(formler!D35,formler!$A$2:$B$8,2,FALSE)</f>
        <v>Tirsdag</v>
      </c>
      <c r="C34" s="3">
        <v>2.5</v>
      </c>
      <c r="D34" s="3">
        <v>750</v>
      </c>
      <c r="E34" s="3">
        <f t="shared" si="3"/>
        <v>1875</v>
      </c>
      <c r="F34" s="3"/>
      <c r="G34" s="3">
        <f>SUM(E26:E34)</f>
        <v>8250</v>
      </c>
      <c r="H34" s="3"/>
      <c r="I34" s="3"/>
      <c r="J34" s="3"/>
    </row>
    <row r="35" spans="1:10" x14ac:dyDescent="0.2">
      <c r="A35" s="1">
        <v>45778</v>
      </c>
      <c r="B35" t="str">
        <f>VLOOKUP(formler!D36,formler!$A$2:$B$8,2,FALSE)</f>
        <v>Torsdag</v>
      </c>
      <c r="C35">
        <v>0</v>
      </c>
      <c r="D35">
        <v>750</v>
      </c>
      <c r="E35">
        <f t="shared" si="3"/>
        <v>0</v>
      </c>
      <c r="F35" s="4">
        <v>45413</v>
      </c>
    </row>
    <row r="36" spans="1:10" x14ac:dyDescent="0.2">
      <c r="A36" s="1">
        <v>45783</v>
      </c>
      <c r="B36" t="str">
        <f>VLOOKUP(formler!D37,formler!$A$2:$B$8,2,FALSE)</f>
        <v>Tirsdag</v>
      </c>
      <c r="C36">
        <v>1.5</v>
      </c>
      <c r="D36">
        <v>750</v>
      </c>
      <c r="E36">
        <f t="shared" si="3"/>
        <v>1125</v>
      </c>
    </row>
    <row r="37" spans="1:10" x14ac:dyDescent="0.2">
      <c r="A37" s="1">
        <v>45785</v>
      </c>
      <c r="B37" t="str">
        <f>VLOOKUP(formler!D38,formler!$A$2:$B$8,2,FALSE)</f>
        <v>Torsdag</v>
      </c>
      <c r="C37">
        <v>1</v>
      </c>
      <c r="D37">
        <v>750</v>
      </c>
      <c r="E37">
        <f t="shared" si="3"/>
        <v>750</v>
      </c>
    </row>
    <row r="38" spans="1:10" x14ac:dyDescent="0.2">
      <c r="A38" s="1">
        <v>45790</v>
      </c>
      <c r="B38" t="str">
        <f>VLOOKUP(formler!D39,formler!$A$2:$B$8,2,FALSE)</f>
        <v>Tirsdag</v>
      </c>
      <c r="C38">
        <v>1.5</v>
      </c>
      <c r="D38">
        <v>750</v>
      </c>
      <c r="E38">
        <f t="shared" si="3"/>
        <v>1125</v>
      </c>
    </row>
    <row r="39" spans="1:10" x14ac:dyDescent="0.2">
      <c r="A39" s="1">
        <v>45792</v>
      </c>
      <c r="B39" t="str">
        <f>VLOOKUP(formler!D40,formler!$A$2:$B$8,2,FALSE)</f>
        <v>Torsdag</v>
      </c>
      <c r="C39">
        <v>1</v>
      </c>
      <c r="D39">
        <v>750</v>
      </c>
      <c r="E39">
        <f t="shared" si="3"/>
        <v>750</v>
      </c>
    </row>
    <row r="40" spans="1:10" x14ac:dyDescent="0.2">
      <c r="A40" s="1">
        <v>45797</v>
      </c>
      <c r="B40" t="str">
        <f>VLOOKUP(formler!D41,formler!$A$2:$B$8,2,FALSE)</f>
        <v>Tirsdag</v>
      </c>
      <c r="C40">
        <v>2.5</v>
      </c>
      <c r="D40">
        <v>750</v>
      </c>
      <c r="E40">
        <f t="shared" si="3"/>
        <v>1875</v>
      </c>
    </row>
    <row r="41" spans="1:10" x14ac:dyDescent="0.2">
      <c r="A41" s="1">
        <v>45799</v>
      </c>
      <c r="B41" t="str">
        <f>VLOOKUP(formler!D42,formler!$A$2:$B$8,2,FALSE)</f>
        <v>Torsdag</v>
      </c>
      <c r="C41">
        <v>1</v>
      </c>
      <c r="D41">
        <v>750</v>
      </c>
      <c r="E41">
        <f t="shared" si="3"/>
        <v>750</v>
      </c>
    </row>
    <row r="42" spans="1:10" x14ac:dyDescent="0.2">
      <c r="A42" s="1">
        <v>45804</v>
      </c>
      <c r="B42" t="str">
        <f>VLOOKUP(formler!D43,formler!$A$2:$B$8,2,FALSE)</f>
        <v>Tirsdag</v>
      </c>
      <c r="C42">
        <v>1.5</v>
      </c>
      <c r="D42">
        <v>750</v>
      </c>
      <c r="E42">
        <f t="shared" ref="E42:E51" si="4">C42*D42</f>
        <v>1125</v>
      </c>
    </row>
    <row r="43" spans="1:10" ht="15.75" thickBot="1" x14ac:dyDescent="0.25">
      <c r="A43" s="2">
        <v>45806</v>
      </c>
      <c r="B43" s="3" t="str">
        <f>VLOOKUP(formler!D44,formler!$A$2:$B$8,2,FALSE)</f>
        <v>Torsdag</v>
      </c>
      <c r="C43" s="3">
        <v>0</v>
      </c>
      <c r="D43" s="3">
        <v>750</v>
      </c>
      <c r="E43" s="3">
        <f t="shared" si="4"/>
        <v>0</v>
      </c>
      <c r="F43" s="3" t="s">
        <v>20</v>
      </c>
      <c r="G43" s="3">
        <f>SUM(E35:E43)</f>
        <v>7500</v>
      </c>
      <c r="H43" s="3"/>
      <c r="I43" s="3"/>
      <c r="J43" s="3"/>
    </row>
    <row r="44" spans="1:10" x14ac:dyDescent="0.2">
      <c r="A44" s="1">
        <v>45811</v>
      </c>
      <c r="B44" t="str">
        <f>VLOOKUP(formler!D45,formler!$A$2:$B$8,2,FALSE)</f>
        <v>Tirsdag</v>
      </c>
      <c r="C44">
        <v>1.5</v>
      </c>
      <c r="D44">
        <v>750</v>
      </c>
      <c r="E44">
        <f t="shared" si="4"/>
        <v>1125</v>
      </c>
    </row>
    <row r="45" spans="1:10" x14ac:dyDescent="0.2">
      <c r="A45" s="1">
        <v>45813</v>
      </c>
      <c r="B45" t="str">
        <f>VLOOKUP(formler!D46,formler!$A$2:$B$8,2,FALSE)</f>
        <v>Torsdag</v>
      </c>
      <c r="C45">
        <v>1</v>
      </c>
      <c r="D45">
        <v>750</v>
      </c>
      <c r="E45">
        <f t="shared" si="4"/>
        <v>750</v>
      </c>
    </row>
    <row r="46" spans="1:10" x14ac:dyDescent="0.2">
      <c r="A46" s="1">
        <v>45818</v>
      </c>
      <c r="B46" t="str">
        <f>VLOOKUP(formler!D47,formler!$A$2:$B$8,2,FALSE)</f>
        <v>Tirsdag</v>
      </c>
      <c r="C46">
        <v>2.5</v>
      </c>
      <c r="D46">
        <v>750</v>
      </c>
      <c r="E46">
        <f t="shared" si="4"/>
        <v>1875</v>
      </c>
    </row>
    <row r="47" spans="1:10" x14ac:dyDescent="0.2">
      <c r="A47" s="1">
        <v>45820</v>
      </c>
      <c r="B47" t="str">
        <f>VLOOKUP(formler!D48,formler!$A$2:$B$8,2,FALSE)</f>
        <v>Torsdag</v>
      </c>
      <c r="C47">
        <v>1</v>
      </c>
      <c r="D47">
        <v>750</v>
      </c>
      <c r="E47">
        <f t="shared" si="4"/>
        <v>750</v>
      </c>
    </row>
    <row r="48" spans="1:10" x14ac:dyDescent="0.2">
      <c r="A48" s="1">
        <v>45825</v>
      </c>
      <c r="B48" t="str">
        <f>VLOOKUP(formler!D49,formler!$A$2:$B$8,2,FALSE)</f>
        <v>Tirsdag</v>
      </c>
      <c r="C48">
        <v>1.5</v>
      </c>
      <c r="D48">
        <v>750</v>
      </c>
      <c r="E48">
        <f t="shared" si="4"/>
        <v>1125</v>
      </c>
    </row>
    <row r="49" spans="1:12" x14ac:dyDescent="0.2">
      <c r="A49" s="1">
        <v>45827</v>
      </c>
      <c r="B49" t="str">
        <f>VLOOKUP(formler!D50,formler!$A$2:$B$8,2,FALSE)</f>
        <v>Torsdag</v>
      </c>
      <c r="C49">
        <v>1</v>
      </c>
      <c r="D49">
        <v>750</v>
      </c>
      <c r="E49">
        <f t="shared" si="4"/>
        <v>750</v>
      </c>
    </row>
    <row r="50" spans="1:12" x14ac:dyDescent="0.2">
      <c r="A50" s="1">
        <v>45832</v>
      </c>
      <c r="B50" t="str">
        <f>VLOOKUP(formler!D51,formler!$A$2:$B$8,2,FALSE)</f>
        <v>Tirsdag</v>
      </c>
      <c r="C50">
        <v>1.5</v>
      </c>
      <c r="D50">
        <v>750</v>
      </c>
      <c r="E50">
        <f t="shared" si="4"/>
        <v>1125</v>
      </c>
    </row>
    <row r="51" spans="1:12" ht="15.75" thickBot="1" x14ac:dyDescent="0.25">
      <c r="A51" s="2">
        <v>45834</v>
      </c>
      <c r="B51" s="3" t="str">
        <f>VLOOKUP(formler!D52,formler!$A$2:$B$8,2,FALSE)</f>
        <v>Torsdag</v>
      </c>
      <c r="C51" s="3">
        <v>1</v>
      </c>
      <c r="D51" s="3">
        <v>750</v>
      </c>
      <c r="E51" s="3">
        <f t="shared" si="4"/>
        <v>750</v>
      </c>
      <c r="F51" s="3"/>
      <c r="G51" s="3">
        <f>SUM(E44:E51)</f>
        <v>8250</v>
      </c>
      <c r="H51" s="3"/>
      <c r="I51" s="3"/>
      <c r="J51" s="3"/>
    </row>
    <row r="52" spans="1:12" x14ac:dyDescent="0.2">
      <c r="C52">
        <f>SUM(C2:C51)</f>
        <v>64.5</v>
      </c>
      <c r="D52">
        <v>750</v>
      </c>
      <c r="E52">
        <f>C52*D52</f>
        <v>48375</v>
      </c>
    </row>
    <row r="56" spans="1:12" x14ac:dyDescent="0.2">
      <c r="A56" s="1">
        <v>45874</v>
      </c>
      <c r="B56" t="str">
        <f>VLOOKUP(formler!D53,formler!$A$2:$B$8,2,FALSE)</f>
        <v>Tirsdag</v>
      </c>
      <c r="C56">
        <v>1.5</v>
      </c>
      <c r="D56">
        <v>750</v>
      </c>
      <c r="E56">
        <f t="shared" ref="E56:E57" si="5">C56*D56</f>
        <v>1125</v>
      </c>
    </row>
    <row r="57" spans="1:12" x14ac:dyDescent="0.2">
      <c r="A57" s="1">
        <v>45876</v>
      </c>
      <c r="B57" t="str">
        <f>VLOOKUP(formler!D54,formler!$A$2:$B$8,2,FALSE)</f>
        <v>Torsdag</v>
      </c>
      <c r="C57">
        <v>1</v>
      </c>
      <c r="D57">
        <v>750</v>
      </c>
      <c r="E57">
        <f t="shared" si="5"/>
        <v>750</v>
      </c>
      <c r="L57">
        <v>30000</v>
      </c>
    </row>
    <row r="58" spans="1:12" x14ac:dyDescent="0.2">
      <c r="A58" s="1">
        <v>45881</v>
      </c>
      <c r="B58" t="str">
        <f>VLOOKUP(formler!D55,formler!$A$2:$B$8,2,FALSE)</f>
        <v>Tirsdag</v>
      </c>
      <c r="C58">
        <v>1.5</v>
      </c>
      <c r="D58">
        <v>750</v>
      </c>
      <c r="E58">
        <f t="shared" ref="E58:E59" si="6">C58*D58</f>
        <v>1125</v>
      </c>
      <c r="K58" s="8">
        <v>102110</v>
      </c>
      <c r="L58" s="8">
        <f>K58/$L$57</f>
        <v>3.4036666666666666</v>
      </c>
    </row>
    <row r="59" spans="1:12" x14ac:dyDescent="0.2">
      <c r="A59" s="1">
        <v>45883</v>
      </c>
      <c r="B59" t="str">
        <f>VLOOKUP(formler!D56,formler!$A$2:$B$8,2,FALSE)</f>
        <v>Torsdag</v>
      </c>
      <c r="C59">
        <v>1</v>
      </c>
      <c r="D59">
        <v>750</v>
      </c>
      <c r="E59">
        <f t="shared" si="6"/>
        <v>750</v>
      </c>
      <c r="K59" s="8">
        <f>K58*1.05</f>
        <v>107215.5</v>
      </c>
      <c r="L59" s="8">
        <f>K59/$L$57</f>
        <v>3.5738500000000002</v>
      </c>
    </row>
    <row r="60" spans="1:12" x14ac:dyDescent="0.2">
      <c r="A60" s="1">
        <v>45888</v>
      </c>
      <c r="B60" t="str">
        <f>VLOOKUP(formler!D57,formler!$A$2:$B$8,2,FALSE)</f>
        <v>Tirsdag</v>
      </c>
      <c r="C60">
        <v>1.5</v>
      </c>
      <c r="D60">
        <v>750</v>
      </c>
      <c r="E60">
        <f t="shared" ref="E60:E63" si="7">C60*D60</f>
        <v>1125</v>
      </c>
      <c r="K60" s="8">
        <f t="shared" ref="K60:K67" si="8">K59*1.05</f>
        <v>112576.27500000001</v>
      </c>
      <c r="L60" s="8">
        <f t="shared" ref="L60:L67" si="9">K60/$L$57</f>
        <v>3.7525425000000001</v>
      </c>
    </row>
    <row r="61" spans="1:12" x14ac:dyDescent="0.2">
      <c r="A61" s="1">
        <v>45890</v>
      </c>
      <c r="B61" t="str">
        <f>VLOOKUP(formler!D58,formler!$A$2:$B$8,2,FALSE)</f>
        <v>Torsdag</v>
      </c>
      <c r="C61">
        <v>1</v>
      </c>
      <c r="D61">
        <v>750</v>
      </c>
      <c r="E61">
        <f t="shared" si="7"/>
        <v>750</v>
      </c>
      <c r="K61" s="8">
        <f t="shared" si="8"/>
        <v>118205.08875000001</v>
      </c>
      <c r="L61" s="8">
        <f t="shared" si="9"/>
        <v>3.9401696250000002</v>
      </c>
    </row>
    <row r="62" spans="1:12" x14ac:dyDescent="0.2">
      <c r="A62" s="1">
        <v>45895</v>
      </c>
      <c r="B62" t="str">
        <f>VLOOKUP(formler!D59,formler!$A$2:$B$8,2,FALSE)</f>
        <v>Tirsdag</v>
      </c>
      <c r="C62">
        <v>2.5</v>
      </c>
      <c r="D62">
        <v>750</v>
      </c>
      <c r="E62">
        <f t="shared" si="7"/>
        <v>1875</v>
      </c>
      <c r="K62" s="8">
        <f t="shared" si="8"/>
        <v>124115.34318750001</v>
      </c>
      <c r="L62" s="8">
        <f t="shared" si="9"/>
        <v>4.1371781062500004</v>
      </c>
    </row>
    <row r="63" spans="1:12" ht="15.75" thickBot="1" x14ac:dyDescent="0.25">
      <c r="A63" s="2">
        <v>45897</v>
      </c>
      <c r="B63" s="2" t="str">
        <f>VLOOKUP(formler!D60,formler!$A$2:$B$8,2,FALSE)</f>
        <v>Torsdag</v>
      </c>
      <c r="C63" s="3">
        <v>1</v>
      </c>
      <c r="D63" s="3">
        <v>750</v>
      </c>
      <c r="E63" s="3">
        <f t="shared" si="7"/>
        <v>750</v>
      </c>
      <c r="F63" s="3"/>
      <c r="G63" s="3">
        <f>SUM(E56:E63)</f>
        <v>8250</v>
      </c>
      <c r="H63" s="3"/>
      <c r="I63" s="3"/>
      <c r="J63" s="3"/>
      <c r="K63" s="8">
        <f t="shared" si="8"/>
        <v>130321.11034687502</v>
      </c>
      <c r="L63" s="8">
        <f t="shared" si="9"/>
        <v>4.3440370115625004</v>
      </c>
    </row>
    <row r="64" spans="1:12" x14ac:dyDescent="0.2">
      <c r="A64" s="1">
        <v>45902</v>
      </c>
      <c r="B64" t="str">
        <f>VLOOKUP(formler!D61,formler!$A$2:$B$8,2,FALSE)</f>
        <v>Tirsdag</v>
      </c>
      <c r="C64">
        <v>1.5</v>
      </c>
      <c r="D64">
        <v>750</v>
      </c>
      <c r="E64">
        <f t="shared" ref="E64:E71" si="10">C64*D64</f>
        <v>1125</v>
      </c>
      <c r="K64" s="8">
        <f>K63*1.05</f>
        <v>136837.16586421878</v>
      </c>
      <c r="L64" s="8">
        <f t="shared" si="9"/>
        <v>4.5612388621406259</v>
      </c>
    </row>
    <row r="65" spans="1:18" x14ac:dyDescent="0.2">
      <c r="A65" s="1">
        <v>45904</v>
      </c>
      <c r="B65" t="str">
        <f>VLOOKUP(formler!D62,formler!$A$2:$B$8,2,FALSE)</f>
        <v>Torsdag</v>
      </c>
      <c r="C65">
        <v>1</v>
      </c>
      <c r="D65">
        <v>750</v>
      </c>
      <c r="E65">
        <f t="shared" si="10"/>
        <v>750</v>
      </c>
      <c r="K65" s="8">
        <f t="shared" si="8"/>
        <v>143679.02415742973</v>
      </c>
      <c r="L65" s="8">
        <f t="shared" si="9"/>
        <v>4.7893008052476578</v>
      </c>
    </row>
    <row r="66" spans="1:18" x14ac:dyDescent="0.2">
      <c r="A66" s="1">
        <v>45909</v>
      </c>
      <c r="B66" t="str">
        <f>VLOOKUP(formler!D63,formler!$A$2:$B$8,2,FALSE)</f>
        <v>Tirsdag</v>
      </c>
      <c r="C66">
        <v>1.5</v>
      </c>
      <c r="D66">
        <v>750</v>
      </c>
      <c r="E66">
        <f t="shared" si="10"/>
        <v>1125</v>
      </c>
      <c r="K66" s="8">
        <f t="shared" si="8"/>
        <v>150862.97536530122</v>
      </c>
      <c r="L66" s="8">
        <f t="shared" si="9"/>
        <v>5.0287658455100406</v>
      </c>
    </row>
    <row r="67" spans="1:18" x14ac:dyDescent="0.2">
      <c r="A67" s="1">
        <v>45911</v>
      </c>
      <c r="B67" t="str">
        <f>VLOOKUP(formler!D64,formler!$A$2:$B$8,2,FALSE)</f>
        <v>Torsdag</v>
      </c>
      <c r="C67">
        <v>1</v>
      </c>
      <c r="D67">
        <v>750</v>
      </c>
      <c r="E67">
        <f t="shared" si="10"/>
        <v>750</v>
      </c>
      <c r="K67" s="8">
        <f t="shared" si="8"/>
        <v>158406.12413356628</v>
      </c>
      <c r="L67" s="8">
        <f t="shared" si="9"/>
        <v>5.2802041377855424</v>
      </c>
    </row>
    <row r="68" spans="1:18" x14ac:dyDescent="0.2">
      <c r="A68" s="1">
        <v>45916</v>
      </c>
      <c r="B68" t="str">
        <f>VLOOKUP(formler!D65,formler!$A$2:$B$8,2,FALSE)</f>
        <v>Tirsdag</v>
      </c>
      <c r="C68">
        <v>2.5</v>
      </c>
      <c r="D68">
        <v>750</v>
      </c>
      <c r="E68">
        <f t="shared" si="10"/>
        <v>1875</v>
      </c>
    </row>
    <row r="69" spans="1:18" x14ac:dyDescent="0.2">
      <c r="A69" s="1">
        <v>45918</v>
      </c>
      <c r="B69" t="str">
        <f>VLOOKUP(formler!D66,formler!$A$2:$B$8,2,FALSE)</f>
        <v>Torsdag</v>
      </c>
      <c r="C69">
        <v>1</v>
      </c>
      <c r="D69">
        <v>750</v>
      </c>
      <c r="E69">
        <f t="shared" si="10"/>
        <v>750</v>
      </c>
      <c r="K69">
        <v>1.0900000000000001</v>
      </c>
      <c r="L69">
        <v>50000</v>
      </c>
    </row>
    <row r="70" spans="1:18" x14ac:dyDescent="0.2">
      <c r="A70" s="1">
        <v>45923</v>
      </c>
      <c r="B70" t="str">
        <f>VLOOKUP(formler!D67,formler!$A$2:$B$8,2,FALSE)</f>
        <v>Tirsdag</v>
      </c>
      <c r="C70">
        <v>1.5</v>
      </c>
      <c r="D70">
        <v>750</v>
      </c>
      <c r="E70">
        <f t="shared" si="10"/>
        <v>1125</v>
      </c>
      <c r="K70">
        <v>1100000</v>
      </c>
      <c r="L70">
        <v>2025</v>
      </c>
      <c r="M70">
        <v>48</v>
      </c>
    </row>
    <row r="71" spans="1:18" x14ac:dyDescent="0.2">
      <c r="A71" s="1">
        <v>45925</v>
      </c>
      <c r="B71" s="1" t="str">
        <f>VLOOKUP(formler!D68,formler!$A$2:$B$8,2,FALSE)</f>
        <v>Torsdag</v>
      </c>
      <c r="C71">
        <v>1</v>
      </c>
      <c r="D71">
        <v>750</v>
      </c>
      <c r="E71">
        <f t="shared" si="10"/>
        <v>750</v>
      </c>
      <c r="K71">
        <f>($L$69+K70)*$K$69</f>
        <v>1253500</v>
      </c>
      <c r="L71">
        <v>2026</v>
      </c>
      <c r="M71">
        <v>49</v>
      </c>
      <c r="P71">
        <v>83000</v>
      </c>
    </row>
    <row r="72" spans="1:18" ht="15.75" thickBot="1" x14ac:dyDescent="0.25">
      <c r="A72" s="2">
        <v>45930</v>
      </c>
      <c r="B72" s="3" t="str">
        <f>VLOOKUP(formler!D69,formler!$A$2:$B$8,2,FALSE)</f>
        <v>Tirsdag</v>
      </c>
      <c r="C72" s="3">
        <v>1.5</v>
      </c>
      <c r="D72" s="3">
        <v>750</v>
      </c>
      <c r="E72" s="3">
        <f t="shared" ref="E72:E81" si="11">C72*D72</f>
        <v>1125</v>
      </c>
      <c r="F72" s="3"/>
      <c r="G72" s="3">
        <f>SUM(E64:E72)</f>
        <v>9375</v>
      </c>
      <c r="H72" s="3"/>
      <c r="I72" s="3"/>
      <c r="J72" s="3"/>
      <c r="K72">
        <f t="shared" ref="K72:K78" si="12">($L$69+K71)*$K$69</f>
        <v>1420815</v>
      </c>
      <c r="L72">
        <v>2027</v>
      </c>
      <c r="M72">
        <v>50</v>
      </c>
      <c r="P72" t="s">
        <v>28</v>
      </c>
      <c r="Q72" t="s">
        <v>29</v>
      </c>
      <c r="R72" t="s">
        <v>30</v>
      </c>
    </row>
    <row r="73" spans="1:18" x14ac:dyDescent="0.2">
      <c r="A73" s="1">
        <v>45932</v>
      </c>
      <c r="B73" t="str">
        <f>VLOOKUP(formler!D70,formler!$A$2:$B$8,2,FALSE)</f>
        <v>Torsdag</v>
      </c>
      <c r="C73">
        <v>1</v>
      </c>
      <c r="D73">
        <v>750</v>
      </c>
      <c r="E73">
        <f t="shared" si="11"/>
        <v>750</v>
      </c>
      <c r="K73">
        <f t="shared" si="12"/>
        <v>1603188.35</v>
      </c>
      <c r="L73">
        <v>2028</v>
      </c>
      <c r="M73">
        <v>51</v>
      </c>
      <c r="O73" t="s">
        <v>26</v>
      </c>
      <c r="P73">
        <v>200</v>
      </c>
      <c r="Q73">
        <v>130</v>
      </c>
      <c r="R73">
        <f>(P73*100)/Q73-100</f>
        <v>53.84615384615384</v>
      </c>
    </row>
    <row r="74" spans="1:18" x14ac:dyDescent="0.2">
      <c r="A74" s="1">
        <v>45937</v>
      </c>
      <c r="B74" t="str">
        <f>VLOOKUP(formler!D71,formler!$A$2:$B$8,2,FALSE)</f>
        <v>Tirsdag</v>
      </c>
      <c r="C74">
        <v>2.5</v>
      </c>
      <c r="D74">
        <v>750</v>
      </c>
      <c r="E74">
        <f t="shared" si="11"/>
        <v>1875</v>
      </c>
      <c r="K74">
        <f t="shared" si="12"/>
        <v>1801975.3015000003</v>
      </c>
      <c r="L74">
        <v>2029</v>
      </c>
      <c r="M74">
        <v>52</v>
      </c>
      <c r="O74" t="s">
        <v>27</v>
      </c>
      <c r="P74">
        <v>77</v>
      </c>
      <c r="Q74">
        <v>57</v>
      </c>
      <c r="R74">
        <f>(P74*100)/Q74-100</f>
        <v>35.087719298245617</v>
      </c>
    </row>
    <row r="75" spans="1:18" x14ac:dyDescent="0.2">
      <c r="A75" s="1">
        <v>45939</v>
      </c>
      <c r="B75" t="str">
        <f>VLOOKUP(formler!D72,formler!$A$2:$B$8,2,FALSE)</f>
        <v>Torsdag</v>
      </c>
      <c r="C75">
        <v>1</v>
      </c>
      <c r="D75">
        <v>750</v>
      </c>
      <c r="E75">
        <f t="shared" si="11"/>
        <v>750</v>
      </c>
      <c r="K75">
        <f t="shared" si="12"/>
        <v>2018653.0786350004</v>
      </c>
      <c r="L75">
        <v>2030</v>
      </c>
      <c r="M75">
        <v>53</v>
      </c>
    </row>
    <row r="76" spans="1:18" x14ac:dyDescent="0.2">
      <c r="A76" s="1">
        <v>45944</v>
      </c>
      <c r="B76" t="str">
        <f>VLOOKUP(formler!D73,formler!$A$2:$B$8,2,FALSE)</f>
        <v>Tirsdag</v>
      </c>
      <c r="C76">
        <v>1.5</v>
      </c>
      <c r="D76">
        <v>750</v>
      </c>
      <c r="E76">
        <f t="shared" si="11"/>
        <v>1125</v>
      </c>
      <c r="K76">
        <f t="shared" si="12"/>
        <v>2254831.8557121507</v>
      </c>
      <c r="L76">
        <v>2031</v>
      </c>
      <c r="M76">
        <v>54</v>
      </c>
    </row>
    <row r="77" spans="1:18" x14ac:dyDescent="0.2">
      <c r="A77" s="1">
        <v>45946</v>
      </c>
      <c r="B77" t="str">
        <f>VLOOKUP(formler!D74,formler!$A$2:$B$8,2,FALSE)</f>
        <v>Torsdag</v>
      </c>
      <c r="C77">
        <v>1</v>
      </c>
      <c r="D77">
        <v>750</v>
      </c>
      <c r="E77">
        <f t="shared" si="11"/>
        <v>750</v>
      </c>
      <c r="K77">
        <f t="shared" si="12"/>
        <v>2512266.7227262445</v>
      </c>
      <c r="L77">
        <v>2032</v>
      </c>
      <c r="M77">
        <v>55</v>
      </c>
    </row>
    <row r="78" spans="1:18" x14ac:dyDescent="0.2">
      <c r="A78" s="1">
        <v>45951</v>
      </c>
      <c r="B78" t="str">
        <f>VLOOKUP(formler!D75,formler!$A$2:$B$8,2,FALSE)</f>
        <v>Tirsdag</v>
      </c>
      <c r="C78">
        <v>1.5</v>
      </c>
      <c r="D78">
        <v>750</v>
      </c>
      <c r="E78">
        <f t="shared" si="11"/>
        <v>1125</v>
      </c>
      <c r="K78">
        <f t="shared" si="12"/>
        <v>2792870.7277716068</v>
      </c>
      <c r="L78">
        <v>2033</v>
      </c>
      <c r="M78">
        <v>56</v>
      </c>
    </row>
    <row r="79" spans="1:18" x14ac:dyDescent="0.2">
      <c r="A79" s="1">
        <v>45953</v>
      </c>
      <c r="B79" t="str">
        <f>VLOOKUP(formler!D76,formler!$A$2:$B$8,2,FALSE)</f>
        <v>Torsdag</v>
      </c>
      <c r="C79">
        <v>1</v>
      </c>
      <c r="D79">
        <v>750</v>
      </c>
      <c r="E79">
        <f t="shared" si="11"/>
        <v>750</v>
      </c>
      <c r="K79">
        <f>($L$69+K78)*$K$69</f>
        <v>3098729.0932710515</v>
      </c>
      <c r="L79">
        <v>2034</v>
      </c>
      <c r="M79">
        <v>57</v>
      </c>
    </row>
    <row r="80" spans="1:18" x14ac:dyDescent="0.2">
      <c r="A80" s="1">
        <v>45958</v>
      </c>
      <c r="B80" t="str">
        <f>VLOOKUP(formler!D77,formler!$A$2:$B$8,2,FALSE)</f>
        <v>Tirsdag</v>
      </c>
      <c r="C80">
        <v>2.5</v>
      </c>
      <c r="D80">
        <v>750</v>
      </c>
      <c r="E80">
        <f t="shared" si="11"/>
        <v>1875</v>
      </c>
      <c r="K80">
        <f t="shared" ref="K80:K81" si="13">($L$69+K79)*$K$69</f>
        <v>3432114.7116654464</v>
      </c>
      <c r="L80">
        <v>2035</v>
      </c>
      <c r="M80">
        <v>58</v>
      </c>
    </row>
    <row r="81" spans="1:13" ht="15.75" thickBot="1" x14ac:dyDescent="0.25">
      <c r="A81" s="2">
        <v>45960</v>
      </c>
      <c r="B81" s="3" t="str">
        <f>VLOOKUP(formler!D78,formler!$A$2:$B$8,2,FALSE)</f>
        <v>Torsdag</v>
      </c>
      <c r="C81" s="3">
        <v>1</v>
      </c>
      <c r="D81" s="3">
        <v>750</v>
      </c>
      <c r="E81" s="3">
        <f t="shared" si="11"/>
        <v>750</v>
      </c>
      <c r="F81" s="3"/>
      <c r="G81" s="3">
        <f>SUM(E73:E81)</f>
        <v>9750</v>
      </c>
      <c r="H81" s="3"/>
      <c r="I81" s="3"/>
      <c r="J81" s="3"/>
      <c r="K81">
        <f t="shared" si="13"/>
        <v>3795505.0357153369</v>
      </c>
      <c r="L81">
        <v>2036</v>
      </c>
      <c r="M81">
        <v>59</v>
      </c>
    </row>
    <row r="82" spans="1:13" x14ac:dyDescent="0.2">
      <c r="A82" s="1">
        <v>45965</v>
      </c>
      <c r="B82" t="str">
        <f>VLOOKUP(formler!D79,formler!$A$2:$B$8,2,FALSE)</f>
        <v>Tirsdag</v>
      </c>
      <c r="C82">
        <v>1.5</v>
      </c>
      <c r="D82">
        <v>750</v>
      </c>
      <c r="E82">
        <f t="shared" ref="E82:E95" si="14">C82*D82</f>
        <v>1125</v>
      </c>
      <c r="K82">
        <f>($L$69+K81)*$K$69</f>
        <v>4191600.4889297173</v>
      </c>
      <c r="L82">
        <v>2037</v>
      </c>
      <c r="M82">
        <v>60</v>
      </c>
    </row>
    <row r="83" spans="1:13" x14ac:dyDescent="0.2">
      <c r="A83" s="1">
        <v>45967</v>
      </c>
      <c r="B83" t="str">
        <f>VLOOKUP(formler!D80,formler!$A$2:$B$8,2,FALSE)</f>
        <v>Torsdag</v>
      </c>
      <c r="C83">
        <v>1</v>
      </c>
      <c r="D83">
        <v>750</v>
      </c>
      <c r="E83">
        <f t="shared" si="14"/>
        <v>750</v>
      </c>
      <c r="K83">
        <f t="shared" ref="K83:K89" si="15">($L$69+K82)*$K$69</f>
        <v>4623344.5329333916</v>
      </c>
      <c r="L83">
        <v>2038</v>
      </c>
      <c r="M83">
        <v>61</v>
      </c>
    </row>
    <row r="84" spans="1:13" x14ac:dyDescent="0.2">
      <c r="A84" s="1">
        <v>45972</v>
      </c>
      <c r="B84" t="str">
        <f>VLOOKUP(formler!D81,formler!$A$2:$B$8,2,FALSE)</f>
        <v>Tirsdag</v>
      </c>
      <c r="C84">
        <v>1.5</v>
      </c>
      <c r="D84">
        <v>750</v>
      </c>
      <c r="E84">
        <f t="shared" si="14"/>
        <v>1125</v>
      </c>
      <c r="K84">
        <f t="shared" si="15"/>
        <v>5093945.5408973973</v>
      </c>
      <c r="L84">
        <v>2039</v>
      </c>
      <c r="M84">
        <v>62</v>
      </c>
    </row>
    <row r="85" spans="1:13" x14ac:dyDescent="0.2">
      <c r="A85" s="1">
        <v>45974</v>
      </c>
      <c r="B85" t="str">
        <f>VLOOKUP(formler!D82,formler!$A$2:$B$8,2,FALSE)</f>
        <v>Torsdag</v>
      </c>
      <c r="C85">
        <v>1</v>
      </c>
      <c r="D85">
        <v>750</v>
      </c>
      <c r="E85">
        <f t="shared" si="14"/>
        <v>750</v>
      </c>
      <c r="K85">
        <f t="shared" si="15"/>
        <v>5606900.6395781636</v>
      </c>
      <c r="L85">
        <v>2040</v>
      </c>
      <c r="M85">
        <v>63</v>
      </c>
    </row>
    <row r="86" spans="1:13" x14ac:dyDescent="0.2">
      <c r="A86" s="1">
        <v>45979</v>
      </c>
      <c r="B86" t="str">
        <f>VLOOKUP(formler!D83,formler!$A$2:$B$8,2,FALSE)</f>
        <v>Tirsdag</v>
      </c>
      <c r="C86">
        <v>2.5</v>
      </c>
      <c r="D86">
        <v>750</v>
      </c>
      <c r="E86">
        <f t="shared" si="14"/>
        <v>1875</v>
      </c>
      <c r="K86">
        <f t="shared" si="15"/>
        <v>6166021.6971401991</v>
      </c>
      <c r="L86">
        <v>2041</v>
      </c>
      <c r="M86">
        <v>64</v>
      </c>
    </row>
    <row r="87" spans="1:13" x14ac:dyDescent="0.2">
      <c r="A87" s="1">
        <v>45981</v>
      </c>
      <c r="B87" t="str">
        <f>VLOOKUP(formler!D84,formler!$A$2:$B$8,2,FALSE)</f>
        <v>Torsdag</v>
      </c>
      <c r="C87">
        <v>1</v>
      </c>
      <c r="D87">
        <v>750</v>
      </c>
      <c r="E87">
        <f t="shared" si="14"/>
        <v>750</v>
      </c>
      <c r="K87">
        <f t="shared" si="15"/>
        <v>6775463.6498828176</v>
      </c>
      <c r="L87">
        <v>2042</v>
      </c>
      <c r="M87">
        <v>65</v>
      </c>
    </row>
    <row r="88" spans="1:13" x14ac:dyDescent="0.2">
      <c r="A88" s="1">
        <v>45986</v>
      </c>
      <c r="B88" t="str">
        <f>VLOOKUP(formler!D85,formler!$A$2:$B$8,2,FALSE)</f>
        <v>Tirsdag</v>
      </c>
      <c r="C88">
        <v>1.5</v>
      </c>
      <c r="D88">
        <v>750</v>
      </c>
      <c r="E88">
        <f t="shared" si="14"/>
        <v>1125</v>
      </c>
      <c r="K88">
        <f t="shared" si="15"/>
        <v>7439755.3783722715</v>
      </c>
      <c r="L88">
        <v>2043</v>
      </c>
      <c r="M88">
        <v>66</v>
      </c>
    </row>
    <row r="89" spans="1:13" ht="15.75" thickBot="1" x14ac:dyDescent="0.25">
      <c r="A89" s="2">
        <v>45988</v>
      </c>
      <c r="B89" s="3" t="str">
        <f>VLOOKUP(formler!D86,formler!$A$2:$B$8,2,FALSE)</f>
        <v>Torsdag</v>
      </c>
      <c r="C89" s="3">
        <v>1</v>
      </c>
      <c r="D89" s="3">
        <v>750</v>
      </c>
      <c r="E89" s="3">
        <f t="shared" si="14"/>
        <v>750</v>
      </c>
      <c r="F89" s="3"/>
      <c r="G89" s="3">
        <f>SUM(E82:E89)</f>
        <v>8250</v>
      </c>
      <c r="H89" s="3"/>
      <c r="I89" s="3"/>
      <c r="J89" s="3"/>
      <c r="K89">
        <f t="shared" si="15"/>
        <v>8163833.3624257762</v>
      </c>
      <c r="L89">
        <v>2044</v>
      </c>
      <c r="M89">
        <v>67</v>
      </c>
    </row>
    <row r="90" spans="1:13" x14ac:dyDescent="0.2">
      <c r="A90" s="1">
        <v>45993</v>
      </c>
      <c r="B90" t="str">
        <f>VLOOKUP(formler!D87,formler!$A$2:$B$8,2,FALSE)</f>
        <v>Tirsdag</v>
      </c>
      <c r="C90">
        <v>1.5</v>
      </c>
      <c r="D90">
        <v>750</v>
      </c>
      <c r="E90">
        <f t="shared" si="14"/>
        <v>1125</v>
      </c>
    </row>
    <row r="91" spans="1:13" x14ac:dyDescent="0.2">
      <c r="A91" s="1">
        <v>45995</v>
      </c>
      <c r="B91" t="str">
        <f>VLOOKUP(formler!D88,formler!$A$2:$B$8,2,FALSE)</f>
        <v>Torsdag</v>
      </c>
      <c r="C91">
        <v>1</v>
      </c>
      <c r="D91">
        <v>750</v>
      </c>
      <c r="E91">
        <f t="shared" si="14"/>
        <v>750</v>
      </c>
    </row>
    <row r="92" spans="1:13" x14ac:dyDescent="0.2">
      <c r="A92" s="1">
        <v>46000</v>
      </c>
      <c r="B92" t="str">
        <f>VLOOKUP(formler!D89,formler!$A$2:$B$8,2,FALSE)</f>
        <v>Tirsdag</v>
      </c>
      <c r="C92">
        <v>2.5</v>
      </c>
      <c r="D92">
        <v>750</v>
      </c>
      <c r="E92">
        <f t="shared" si="14"/>
        <v>1875</v>
      </c>
    </row>
    <row r="93" spans="1:13" x14ac:dyDescent="0.2">
      <c r="A93" s="1">
        <v>46002</v>
      </c>
      <c r="B93" t="str">
        <f>VLOOKUP(formler!D90,formler!$A$2:$B$8,2,FALSE)</f>
        <v>Torsdag</v>
      </c>
      <c r="C93">
        <v>1</v>
      </c>
      <c r="D93">
        <v>750</v>
      </c>
      <c r="E93">
        <f t="shared" si="14"/>
        <v>750</v>
      </c>
    </row>
    <row r="94" spans="1:13" x14ac:dyDescent="0.2">
      <c r="A94" s="1">
        <v>46007</v>
      </c>
      <c r="B94" t="str">
        <f>VLOOKUP(formler!D91,formler!$A$2:$B$8,2,FALSE)</f>
        <v>Tirsdag</v>
      </c>
      <c r="C94">
        <v>1.5</v>
      </c>
      <c r="D94">
        <v>750</v>
      </c>
      <c r="E94">
        <f t="shared" si="14"/>
        <v>1125</v>
      </c>
    </row>
    <row r="95" spans="1:13" ht="15.75" thickBot="1" x14ac:dyDescent="0.25">
      <c r="A95" s="2">
        <v>46009</v>
      </c>
      <c r="B95" s="3" t="str">
        <f>VLOOKUP(formler!D92,formler!$A$2:$B$8,2,FALSE)</f>
        <v>Torsdag</v>
      </c>
      <c r="C95" s="3">
        <v>1</v>
      </c>
      <c r="D95" s="3">
        <v>750</v>
      </c>
      <c r="E95" s="3">
        <f t="shared" si="14"/>
        <v>750</v>
      </c>
      <c r="F95" s="3"/>
      <c r="G95" s="3">
        <f>SUM(E90:E95)</f>
        <v>6375</v>
      </c>
      <c r="H95" s="3"/>
      <c r="I95" s="3"/>
      <c r="J95" s="3"/>
    </row>
    <row r="96" spans="1:13" x14ac:dyDescent="0.2">
      <c r="C96">
        <f>SUM(C58:C95)</f>
        <v>53.5</v>
      </c>
      <c r="E96">
        <f>SUM(E56:E95)</f>
        <v>42000</v>
      </c>
      <c r="G96">
        <f>SUM(G95,G89,G81,G72,G63)</f>
        <v>42000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activeCell="H5" sqref="H5"/>
    </sheetView>
  </sheetViews>
  <sheetFormatPr defaultColWidth="10.76171875" defaultRowHeight="15" x14ac:dyDescent="0.2"/>
  <sheetData>
    <row r="1" spans="1:8" x14ac:dyDescent="0.2">
      <c r="D1" t="s">
        <v>1</v>
      </c>
    </row>
    <row r="2" spans="1:8" x14ac:dyDescent="0.2">
      <c r="A2">
        <v>1</v>
      </c>
      <c r="B2" t="s">
        <v>8</v>
      </c>
      <c r="D2">
        <v>1</v>
      </c>
      <c r="G2" t="s">
        <v>35</v>
      </c>
    </row>
    <row r="3" spans="1:8" x14ac:dyDescent="0.2">
      <c r="A3">
        <v>2</v>
      </c>
      <c r="B3" t="s">
        <v>9</v>
      </c>
      <c r="D3">
        <f>WEEKDAY('2025'!A2,2)</f>
        <v>2</v>
      </c>
      <c r="G3" t="s">
        <v>33</v>
      </c>
      <c r="H3">
        <v>1000</v>
      </c>
    </row>
    <row r="4" spans="1:8" x14ac:dyDescent="0.2">
      <c r="A4">
        <v>3</v>
      </c>
      <c r="B4" t="s">
        <v>10</v>
      </c>
      <c r="D4">
        <f>WEEKDAY('2025'!A3,2)</f>
        <v>4</v>
      </c>
      <c r="G4" t="s">
        <v>32</v>
      </c>
      <c r="H4">
        <v>773</v>
      </c>
    </row>
    <row r="5" spans="1:8" x14ac:dyDescent="0.2">
      <c r="A5">
        <v>4</v>
      </c>
      <c r="B5" t="s">
        <v>11</v>
      </c>
      <c r="D5">
        <f>WEEKDAY('2025'!A4,2)</f>
        <v>2</v>
      </c>
      <c r="G5" t="s">
        <v>34</v>
      </c>
      <c r="H5">
        <v>1000</v>
      </c>
    </row>
    <row r="6" spans="1:8" x14ac:dyDescent="0.2">
      <c r="A6">
        <v>5</v>
      </c>
      <c r="B6" t="s">
        <v>12</v>
      </c>
      <c r="D6">
        <f>WEEKDAY('2025'!A5,2)</f>
        <v>4</v>
      </c>
    </row>
    <row r="7" spans="1:8" x14ac:dyDescent="0.2">
      <c r="A7">
        <v>6</v>
      </c>
      <c r="B7" t="s">
        <v>13</v>
      </c>
      <c r="D7">
        <f>WEEKDAY('2025'!A6,2)</f>
        <v>2</v>
      </c>
    </row>
    <row r="8" spans="1:8" x14ac:dyDescent="0.2">
      <c r="A8">
        <v>7</v>
      </c>
      <c r="B8" t="s">
        <v>14</v>
      </c>
      <c r="D8">
        <f>WEEKDAY('2025'!A7,2)</f>
        <v>4</v>
      </c>
    </row>
    <row r="9" spans="1:8" x14ac:dyDescent="0.2">
      <c r="D9">
        <f>WEEKDAY('2025'!A8,2)</f>
        <v>2</v>
      </c>
    </row>
    <row r="10" spans="1:8" x14ac:dyDescent="0.2">
      <c r="D10">
        <f>WEEKDAY('2025'!A9,2)</f>
        <v>4</v>
      </c>
    </row>
    <row r="11" spans="1:8" x14ac:dyDescent="0.2">
      <c r="D11">
        <f>WEEKDAY('2025'!A10,2)</f>
        <v>2</v>
      </c>
    </row>
    <row r="12" spans="1:8" x14ac:dyDescent="0.2">
      <c r="D12">
        <f>WEEKDAY('2025'!A11,2)</f>
        <v>4</v>
      </c>
    </row>
    <row r="13" spans="1:8" x14ac:dyDescent="0.2">
      <c r="D13">
        <f>WEEKDAY('2025'!A12,2)</f>
        <v>2</v>
      </c>
    </row>
    <row r="14" spans="1:8" x14ac:dyDescent="0.2">
      <c r="D14">
        <f>WEEKDAY('2025'!A13,2)</f>
        <v>4</v>
      </c>
    </row>
    <row r="15" spans="1:8" x14ac:dyDescent="0.2">
      <c r="D15">
        <f>WEEKDAY('2025'!A14,2)</f>
        <v>2</v>
      </c>
    </row>
    <row r="16" spans="1:8" x14ac:dyDescent="0.2">
      <c r="D16">
        <f>WEEKDAY('2025'!A15,2)</f>
        <v>4</v>
      </c>
    </row>
    <row r="17" spans="4:4" x14ac:dyDescent="0.2">
      <c r="D17">
        <f>WEEKDAY('2025'!A16,2)</f>
        <v>2</v>
      </c>
    </row>
    <row r="18" spans="4:4" x14ac:dyDescent="0.2">
      <c r="D18">
        <f>WEEKDAY('2025'!A17,2)</f>
        <v>4</v>
      </c>
    </row>
    <row r="19" spans="4:4" x14ac:dyDescent="0.2">
      <c r="D19">
        <f>WEEKDAY('2025'!A18,2)</f>
        <v>2</v>
      </c>
    </row>
    <row r="20" spans="4:4" x14ac:dyDescent="0.2">
      <c r="D20">
        <f>WEEKDAY('2025'!A19,2)</f>
        <v>4</v>
      </c>
    </row>
    <row r="21" spans="4:4" x14ac:dyDescent="0.2">
      <c r="D21">
        <f>WEEKDAY('2025'!A20,2)</f>
        <v>2</v>
      </c>
    </row>
    <row r="22" spans="4:4" x14ac:dyDescent="0.2">
      <c r="D22">
        <f>WEEKDAY('2025'!A21,2)</f>
        <v>4</v>
      </c>
    </row>
    <row r="23" spans="4:4" x14ac:dyDescent="0.2">
      <c r="D23">
        <f>WEEKDAY('2025'!A22,2)</f>
        <v>2</v>
      </c>
    </row>
    <row r="24" spans="4:4" x14ac:dyDescent="0.2">
      <c r="D24">
        <f>WEEKDAY('2025'!A23,2)</f>
        <v>4</v>
      </c>
    </row>
    <row r="25" spans="4:4" x14ac:dyDescent="0.2">
      <c r="D25">
        <f>WEEKDAY('2025'!A24,2)</f>
        <v>2</v>
      </c>
    </row>
    <row r="26" spans="4:4" x14ac:dyDescent="0.2">
      <c r="D26">
        <f>WEEKDAY('2025'!A25,2)</f>
        <v>4</v>
      </c>
    </row>
    <row r="27" spans="4:4" x14ac:dyDescent="0.2">
      <c r="D27">
        <f>WEEKDAY('2025'!A26,2)</f>
        <v>2</v>
      </c>
    </row>
    <row r="28" spans="4:4" x14ac:dyDescent="0.2">
      <c r="D28">
        <f>WEEKDAY('2025'!A27,2)</f>
        <v>4</v>
      </c>
    </row>
    <row r="29" spans="4:4" x14ac:dyDescent="0.2">
      <c r="D29">
        <f>WEEKDAY('2025'!A28,2)</f>
        <v>2</v>
      </c>
    </row>
    <row r="30" spans="4:4" x14ac:dyDescent="0.2">
      <c r="D30">
        <f>WEEKDAY('2025'!A29,2)</f>
        <v>4</v>
      </c>
    </row>
    <row r="31" spans="4:4" x14ac:dyDescent="0.2">
      <c r="D31">
        <f>WEEKDAY('2025'!A30,2)</f>
        <v>2</v>
      </c>
    </row>
    <row r="32" spans="4:4" x14ac:dyDescent="0.2">
      <c r="D32">
        <f>WEEKDAY('2025'!A31,2)</f>
        <v>4</v>
      </c>
    </row>
    <row r="33" spans="4:4" x14ac:dyDescent="0.2">
      <c r="D33">
        <f>WEEKDAY('2025'!A32,2)</f>
        <v>2</v>
      </c>
    </row>
    <row r="34" spans="4:4" x14ac:dyDescent="0.2">
      <c r="D34">
        <f>WEEKDAY('2025'!A33,2)</f>
        <v>4</v>
      </c>
    </row>
    <row r="35" spans="4:4" x14ac:dyDescent="0.2">
      <c r="D35">
        <f>WEEKDAY('2025'!A34,2)</f>
        <v>2</v>
      </c>
    </row>
    <row r="36" spans="4:4" x14ac:dyDescent="0.2">
      <c r="D36">
        <f>WEEKDAY('2025'!A35,2)</f>
        <v>4</v>
      </c>
    </row>
    <row r="37" spans="4:4" x14ac:dyDescent="0.2">
      <c r="D37">
        <f>WEEKDAY('2025'!A36,2)</f>
        <v>2</v>
      </c>
    </row>
    <row r="38" spans="4:4" x14ac:dyDescent="0.2">
      <c r="D38">
        <f>WEEKDAY('2025'!A37,2)</f>
        <v>4</v>
      </c>
    </row>
    <row r="39" spans="4:4" x14ac:dyDescent="0.2">
      <c r="D39">
        <f>WEEKDAY('2025'!A38,2)</f>
        <v>2</v>
      </c>
    </row>
    <row r="40" spans="4:4" x14ac:dyDescent="0.2">
      <c r="D40">
        <f>WEEKDAY('2025'!A39,2)</f>
        <v>4</v>
      </c>
    </row>
    <row r="41" spans="4:4" x14ac:dyDescent="0.2">
      <c r="D41">
        <f>WEEKDAY('2025'!A40,2)</f>
        <v>2</v>
      </c>
    </row>
    <row r="42" spans="4:4" x14ac:dyDescent="0.2">
      <c r="D42">
        <f>WEEKDAY('2025'!A41,2)</f>
        <v>4</v>
      </c>
    </row>
    <row r="43" spans="4:4" x14ac:dyDescent="0.2">
      <c r="D43">
        <f>WEEKDAY('2025'!A42,2)</f>
        <v>2</v>
      </c>
    </row>
    <row r="44" spans="4:4" x14ac:dyDescent="0.2">
      <c r="D44">
        <f>WEEKDAY('2025'!A43,2)</f>
        <v>4</v>
      </c>
    </row>
    <row r="45" spans="4:4" x14ac:dyDescent="0.2">
      <c r="D45">
        <f>WEEKDAY('2025'!A44,2)</f>
        <v>2</v>
      </c>
    </row>
    <row r="46" spans="4:4" x14ac:dyDescent="0.2">
      <c r="D46">
        <f>WEEKDAY('2025'!A45,2)</f>
        <v>4</v>
      </c>
    </row>
    <row r="47" spans="4:4" x14ac:dyDescent="0.2">
      <c r="D47">
        <f>WEEKDAY('2025'!A46,2)</f>
        <v>2</v>
      </c>
    </row>
    <row r="48" spans="4:4" x14ac:dyDescent="0.2">
      <c r="D48">
        <f>WEEKDAY('2025'!A47,2)</f>
        <v>4</v>
      </c>
    </row>
    <row r="49" spans="4:4" x14ac:dyDescent="0.2">
      <c r="D49">
        <f>WEEKDAY('2025'!A48,2)</f>
        <v>2</v>
      </c>
    </row>
    <row r="50" spans="4:4" x14ac:dyDescent="0.2">
      <c r="D50">
        <f>WEEKDAY('2025'!A49,2)</f>
        <v>4</v>
      </c>
    </row>
    <row r="51" spans="4:4" x14ac:dyDescent="0.2">
      <c r="D51">
        <f>WEEKDAY('2025'!A50,2)</f>
        <v>2</v>
      </c>
    </row>
    <row r="52" spans="4:4" x14ac:dyDescent="0.2">
      <c r="D52">
        <f>WEEKDAY('2025'!A51,2)</f>
        <v>4</v>
      </c>
    </row>
    <row r="53" spans="4:4" x14ac:dyDescent="0.2">
      <c r="D53">
        <f>WEEKDAY('2025'!A56,2)</f>
        <v>2</v>
      </c>
    </row>
    <row r="54" spans="4:4" x14ac:dyDescent="0.2">
      <c r="D54">
        <f>WEEKDAY('2025'!A57,2)</f>
        <v>4</v>
      </c>
    </row>
    <row r="55" spans="4:4" x14ac:dyDescent="0.2">
      <c r="D55">
        <f>WEEKDAY('2025'!A58,2)</f>
        <v>2</v>
      </c>
    </row>
    <row r="56" spans="4:4" x14ac:dyDescent="0.2">
      <c r="D56">
        <f>WEEKDAY('2025'!A59,2)</f>
        <v>4</v>
      </c>
    </row>
    <row r="57" spans="4:4" x14ac:dyDescent="0.2">
      <c r="D57">
        <f>WEEKDAY('2025'!A60,2)</f>
        <v>2</v>
      </c>
    </row>
    <row r="58" spans="4:4" x14ac:dyDescent="0.2">
      <c r="D58">
        <f>WEEKDAY('2025'!A61,2)</f>
        <v>4</v>
      </c>
    </row>
    <row r="59" spans="4:4" x14ac:dyDescent="0.2">
      <c r="D59">
        <f>WEEKDAY('2025'!A62,2)</f>
        <v>2</v>
      </c>
    </row>
    <row r="60" spans="4:4" x14ac:dyDescent="0.2">
      <c r="D60">
        <f>WEEKDAY('2025'!A63,2)</f>
        <v>4</v>
      </c>
    </row>
    <row r="61" spans="4:4" x14ac:dyDescent="0.2">
      <c r="D61">
        <f>WEEKDAY('2025'!A64,2)</f>
        <v>2</v>
      </c>
    </row>
    <row r="62" spans="4:4" x14ac:dyDescent="0.2">
      <c r="D62">
        <f>WEEKDAY('2025'!A65,2)</f>
        <v>4</v>
      </c>
    </row>
    <row r="63" spans="4:4" x14ac:dyDescent="0.2">
      <c r="D63">
        <f>WEEKDAY('2025'!A66,2)</f>
        <v>2</v>
      </c>
    </row>
    <row r="64" spans="4:4" x14ac:dyDescent="0.2">
      <c r="D64">
        <f>WEEKDAY('2025'!A67,2)</f>
        <v>4</v>
      </c>
    </row>
    <row r="65" spans="4:4" x14ac:dyDescent="0.2">
      <c r="D65">
        <f>WEEKDAY('2025'!A68,2)</f>
        <v>2</v>
      </c>
    </row>
    <row r="66" spans="4:4" x14ac:dyDescent="0.2">
      <c r="D66">
        <f>WEEKDAY('2025'!A69,2)</f>
        <v>4</v>
      </c>
    </row>
    <row r="67" spans="4:4" x14ac:dyDescent="0.2">
      <c r="D67">
        <f>WEEKDAY('2025'!A70,2)</f>
        <v>2</v>
      </c>
    </row>
    <row r="68" spans="4:4" x14ac:dyDescent="0.2">
      <c r="D68">
        <f>WEEKDAY('2025'!A71,2)</f>
        <v>4</v>
      </c>
    </row>
    <row r="69" spans="4:4" x14ac:dyDescent="0.2">
      <c r="D69">
        <f>WEEKDAY('2025'!A72,2)</f>
        <v>2</v>
      </c>
    </row>
    <row r="70" spans="4:4" x14ac:dyDescent="0.2">
      <c r="D70">
        <f>WEEKDAY('2025'!A73,2)</f>
        <v>4</v>
      </c>
    </row>
    <row r="71" spans="4:4" x14ac:dyDescent="0.2">
      <c r="D71">
        <f>WEEKDAY('2025'!A74,2)</f>
        <v>2</v>
      </c>
    </row>
    <row r="72" spans="4:4" x14ac:dyDescent="0.2">
      <c r="D72">
        <f>WEEKDAY('2025'!A75,2)</f>
        <v>4</v>
      </c>
    </row>
    <row r="73" spans="4:4" x14ac:dyDescent="0.2">
      <c r="D73">
        <f>WEEKDAY('2025'!A76,2)</f>
        <v>2</v>
      </c>
    </row>
    <row r="74" spans="4:4" x14ac:dyDescent="0.2">
      <c r="D74">
        <f>WEEKDAY('2025'!A77,2)</f>
        <v>4</v>
      </c>
    </row>
    <row r="75" spans="4:4" x14ac:dyDescent="0.2">
      <c r="D75">
        <f>WEEKDAY('2025'!A78,2)</f>
        <v>2</v>
      </c>
    </row>
    <row r="76" spans="4:4" x14ac:dyDescent="0.2">
      <c r="D76">
        <f>WEEKDAY('2025'!A79,2)</f>
        <v>4</v>
      </c>
    </row>
    <row r="77" spans="4:4" x14ac:dyDescent="0.2">
      <c r="D77">
        <f>WEEKDAY('2025'!A80,2)</f>
        <v>2</v>
      </c>
    </row>
    <row r="78" spans="4:4" x14ac:dyDescent="0.2">
      <c r="D78">
        <f>WEEKDAY('2025'!A81,2)</f>
        <v>4</v>
      </c>
    </row>
    <row r="79" spans="4:4" x14ac:dyDescent="0.2">
      <c r="D79">
        <f>WEEKDAY('2025'!A82,2)</f>
        <v>2</v>
      </c>
    </row>
    <row r="80" spans="4:4" x14ac:dyDescent="0.2">
      <c r="D80">
        <f>WEEKDAY('2025'!A83,2)</f>
        <v>4</v>
      </c>
    </row>
    <row r="81" spans="4:4" x14ac:dyDescent="0.2">
      <c r="D81">
        <f>WEEKDAY('2025'!A84,2)</f>
        <v>2</v>
      </c>
    </row>
    <row r="82" spans="4:4" x14ac:dyDescent="0.2">
      <c r="D82">
        <f>WEEKDAY('2025'!A85,2)</f>
        <v>4</v>
      </c>
    </row>
    <row r="83" spans="4:4" x14ac:dyDescent="0.2">
      <c r="D83">
        <f>WEEKDAY('2025'!A86,2)</f>
        <v>2</v>
      </c>
    </row>
    <row r="84" spans="4:4" x14ac:dyDescent="0.2">
      <c r="D84">
        <f>WEEKDAY('2025'!A87,2)</f>
        <v>4</v>
      </c>
    </row>
    <row r="85" spans="4:4" x14ac:dyDescent="0.2">
      <c r="D85">
        <f>WEEKDAY('2025'!A88,2)</f>
        <v>2</v>
      </c>
    </row>
    <row r="86" spans="4:4" x14ac:dyDescent="0.2">
      <c r="D86">
        <f>WEEKDAY('2025'!A89,2)</f>
        <v>4</v>
      </c>
    </row>
    <row r="87" spans="4:4" x14ac:dyDescent="0.2">
      <c r="D87">
        <f>WEEKDAY('2025'!A90,2)</f>
        <v>2</v>
      </c>
    </row>
    <row r="88" spans="4:4" x14ac:dyDescent="0.2">
      <c r="D88">
        <f>WEEKDAY('2025'!A91,2)</f>
        <v>4</v>
      </c>
    </row>
    <row r="89" spans="4:4" x14ac:dyDescent="0.2">
      <c r="D89">
        <f>WEEKDAY('2025'!A92,2)</f>
        <v>2</v>
      </c>
    </row>
    <row r="90" spans="4:4" x14ac:dyDescent="0.2">
      <c r="D90">
        <f>WEEKDAY('2025'!A93,2)</f>
        <v>4</v>
      </c>
    </row>
    <row r="91" spans="4:4" x14ac:dyDescent="0.2">
      <c r="D91">
        <f>WEEKDAY('2025'!A94,2)</f>
        <v>2</v>
      </c>
    </row>
    <row r="92" spans="4:4" x14ac:dyDescent="0.2">
      <c r="D92">
        <f>WEEKDAY('2025'!A95,2)</f>
        <v>4</v>
      </c>
    </row>
    <row r="93" spans="4:4" x14ac:dyDescent="0.2">
      <c r="D93">
        <f>WEEKDAY('2025'!A96,2)</f>
        <v>6</v>
      </c>
    </row>
    <row r="94" spans="4:4" x14ac:dyDescent="0.2">
      <c r="D94">
        <f>WEEKDAY('2025'!A97,2)</f>
        <v>6</v>
      </c>
    </row>
    <row r="95" spans="4:4" x14ac:dyDescent="0.2">
      <c r="D95">
        <f>WEEKDAY('2025'!A98,2)</f>
        <v>6</v>
      </c>
    </row>
    <row r="96" spans="4:4" x14ac:dyDescent="0.2">
      <c r="D96">
        <f>WEEKDAY('2025'!A99,2)</f>
        <v>6</v>
      </c>
    </row>
    <row r="97" spans="4:4" x14ac:dyDescent="0.2">
      <c r="D97">
        <f>WEEKDAY('2025'!A100,2)</f>
        <v>6</v>
      </c>
    </row>
    <row r="98" spans="4:4" x14ac:dyDescent="0.2">
      <c r="D98">
        <f>WEEKDAY('2025'!A101,2)</f>
        <v>6</v>
      </c>
    </row>
    <row r="99" spans="4:4" x14ac:dyDescent="0.2">
      <c r="D99">
        <f>WEEKDAY('2025'!A102,2)</f>
        <v>6</v>
      </c>
    </row>
    <row r="100" spans="4:4" x14ac:dyDescent="0.2">
      <c r="D100">
        <f>WEEKDAY('2025'!A103,2)</f>
        <v>6</v>
      </c>
    </row>
    <row r="101" spans="4:4" x14ac:dyDescent="0.2">
      <c r="D101">
        <f>WEEKDAY('2025'!A104,2)</f>
        <v>6</v>
      </c>
    </row>
    <row r="102" spans="4:4" x14ac:dyDescent="0.2">
      <c r="D102">
        <f>WEEKDAY('2025'!A105,2)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F106-8E85-4A7F-87D3-FF0F9A91D657}">
  <dimension ref="A1:I94"/>
  <sheetViews>
    <sheetView topLeftCell="A13" workbookViewId="0">
      <selection activeCell="F21" sqref="F21:I93"/>
    </sheetView>
  </sheetViews>
  <sheetFormatPr defaultColWidth="11.56640625" defaultRowHeight="15" x14ac:dyDescent="0.2"/>
  <sheetData>
    <row r="1" spans="1:9" x14ac:dyDescent="0.2">
      <c r="A1" t="s">
        <v>0</v>
      </c>
      <c r="B1" t="s">
        <v>7</v>
      </c>
      <c r="C1" t="s">
        <v>2</v>
      </c>
      <c r="F1" t="s">
        <v>24</v>
      </c>
    </row>
    <row r="2" spans="1:9" x14ac:dyDescent="0.2">
      <c r="A2" s="1">
        <v>45664</v>
      </c>
      <c r="B2" t="str">
        <f>VLOOKUP(formler!D3,formler!$A$2:$B$8,2,FALSE)</f>
        <v>Tirsdag</v>
      </c>
      <c r="C2">
        <v>1.5</v>
      </c>
      <c r="F2" s="1">
        <v>45664</v>
      </c>
      <c r="G2" t="s">
        <v>9</v>
      </c>
      <c r="H2">
        <v>1.5</v>
      </c>
    </row>
    <row r="3" spans="1:9" x14ac:dyDescent="0.2">
      <c r="A3" s="1">
        <v>45666</v>
      </c>
      <c r="B3" t="str">
        <f>VLOOKUP(formler!D4,formler!$A$2:$B$8,2,FALSE)</f>
        <v>Torsdag</v>
      </c>
      <c r="C3">
        <v>1</v>
      </c>
      <c r="F3" s="1">
        <v>45666</v>
      </c>
      <c r="G3" t="s">
        <v>11</v>
      </c>
      <c r="H3">
        <v>1</v>
      </c>
    </row>
    <row r="4" spans="1:9" x14ac:dyDescent="0.2">
      <c r="A4" s="1">
        <v>45671</v>
      </c>
      <c r="B4" t="str">
        <f>VLOOKUP(formler!D5,formler!$A$2:$B$8,2,FALSE)</f>
        <v>Tirsdag</v>
      </c>
      <c r="C4">
        <v>1.5</v>
      </c>
      <c r="F4" s="1">
        <v>45671</v>
      </c>
      <c r="G4" t="s">
        <v>9</v>
      </c>
      <c r="H4">
        <v>1.5</v>
      </c>
    </row>
    <row r="5" spans="1:9" x14ac:dyDescent="0.2">
      <c r="A5" s="1">
        <v>45673</v>
      </c>
      <c r="B5" t="str">
        <f>VLOOKUP(formler!D6,formler!$A$2:$B$8,2,FALSE)</f>
        <v>Torsdag</v>
      </c>
      <c r="C5">
        <v>1</v>
      </c>
      <c r="F5" s="1">
        <v>45673</v>
      </c>
      <c r="G5" t="s">
        <v>11</v>
      </c>
      <c r="H5">
        <v>1</v>
      </c>
    </row>
    <row r="6" spans="1:9" x14ac:dyDescent="0.2">
      <c r="A6" s="1">
        <v>45678</v>
      </c>
      <c r="B6" t="str">
        <f>VLOOKUP(formler!D7,formler!$A$2:$B$8,2,FALSE)</f>
        <v>Tirsdag</v>
      </c>
      <c r="C6">
        <v>2.5</v>
      </c>
      <c r="F6" s="1">
        <v>45678</v>
      </c>
      <c r="G6" t="s">
        <v>9</v>
      </c>
      <c r="H6">
        <v>2.5</v>
      </c>
    </row>
    <row r="7" spans="1:9" x14ac:dyDescent="0.2">
      <c r="A7" s="1">
        <v>45680</v>
      </c>
      <c r="B7" t="str">
        <f>VLOOKUP(formler!D8,formler!$A$2:$B$8,2,FALSE)</f>
        <v>Torsdag</v>
      </c>
      <c r="C7">
        <v>1</v>
      </c>
      <c r="F7" s="1">
        <v>45680</v>
      </c>
      <c r="G7" t="s">
        <v>11</v>
      </c>
      <c r="H7">
        <v>1</v>
      </c>
    </row>
    <row r="8" spans="1:9" x14ac:dyDescent="0.2">
      <c r="A8" s="1">
        <v>45685</v>
      </c>
      <c r="B8" t="str">
        <f>VLOOKUP(formler!D9,formler!$A$2:$B$8,2,FALSE)</f>
        <v>Tirsdag</v>
      </c>
      <c r="C8">
        <v>1.5</v>
      </c>
      <c r="F8" s="1">
        <v>45685</v>
      </c>
      <c r="G8" t="s">
        <v>9</v>
      </c>
      <c r="H8">
        <v>1.5</v>
      </c>
    </row>
    <row r="9" spans="1:9" ht="15.75" thickBot="1" x14ac:dyDescent="0.25">
      <c r="A9" s="2">
        <v>45687</v>
      </c>
      <c r="B9" s="3" t="str">
        <f>VLOOKUP(formler!D10,formler!$A$2:$B$8,2,FALSE)</f>
        <v>Torsdag</v>
      </c>
      <c r="C9" s="3">
        <v>1</v>
      </c>
      <c r="F9" s="2">
        <v>45687</v>
      </c>
      <c r="G9" s="3" t="s">
        <v>11</v>
      </c>
      <c r="H9" s="3">
        <v>1</v>
      </c>
    </row>
    <row r="10" spans="1:9" x14ac:dyDescent="0.2">
      <c r="A10" s="1">
        <v>45692</v>
      </c>
      <c r="B10" t="s">
        <v>9</v>
      </c>
      <c r="C10">
        <v>1.5</v>
      </c>
      <c r="F10" s="1">
        <v>45692</v>
      </c>
      <c r="G10" t="s">
        <v>9</v>
      </c>
      <c r="H10">
        <v>2.5</v>
      </c>
    </row>
    <row r="11" spans="1:9" x14ac:dyDescent="0.2">
      <c r="A11" s="1">
        <v>45694</v>
      </c>
      <c r="B11" t="str">
        <f>VLOOKUP(formler!D12,formler!$A$2:$B$8,2,FALSE)</f>
        <v>Torsdag</v>
      </c>
      <c r="C11">
        <v>1</v>
      </c>
      <c r="F11" s="1">
        <v>45694</v>
      </c>
      <c r="G11" t="s">
        <v>11</v>
      </c>
      <c r="H11">
        <v>1</v>
      </c>
    </row>
    <row r="12" spans="1:9" x14ac:dyDescent="0.2">
      <c r="A12" s="1">
        <v>45699</v>
      </c>
      <c r="B12" t="str">
        <f>VLOOKUP(formler!D13,formler!$A$2:$B$8,2,FALSE)</f>
        <v>Tirsdag</v>
      </c>
      <c r="C12">
        <v>2.5</v>
      </c>
      <c r="D12" t="s">
        <v>19</v>
      </c>
      <c r="F12" s="6">
        <v>45699</v>
      </c>
      <c r="G12" t="s">
        <v>9</v>
      </c>
      <c r="H12" s="7">
        <v>0</v>
      </c>
      <c r="I12" t="s">
        <v>23</v>
      </c>
    </row>
    <row r="13" spans="1:9" x14ac:dyDescent="0.2">
      <c r="A13" s="1">
        <v>45701</v>
      </c>
      <c r="B13" t="str">
        <f>VLOOKUP(formler!D14,formler!$A$2:$B$8,2,FALSE)</f>
        <v>Torsdag</v>
      </c>
      <c r="C13">
        <v>1</v>
      </c>
      <c r="F13" s="1">
        <v>45701</v>
      </c>
      <c r="G13" t="s">
        <v>11</v>
      </c>
      <c r="H13">
        <v>1</v>
      </c>
    </row>
    <row r="14" spans="1:9" x14ac:dyDescent="0.2">
      <c r="A14" s="1">
        <v>45706</v>
      </c>
      <c r="B14" t="str">
        <f>VLOOKUP(formler!D15,formler!$A$2:$B$8,2,FALSE)</f>
        <v>Tirsdag</v>
      </c>
      <c r="C14">
        <v>1.5</v>
      </c>
      <c r="F14" s="1">
        <v>45706</v>
      </c>
      <c r="G14" t="s">
        <v>9</v>
      </c>
      <c r="H14">
        <v>1.5</v>
      </c>
    </row>
    <row r="15" spans="1:9" x14ac:dyDescent="0.2">
      <c r="A15" s="1">
        <v>45708</v>
      </c>
      <c r="B15" t="str">
        <f>VLOOKUP(formler!D16,formler!$A$2:$B$8,2,FALSE)</f>
        <v>Torsdag</v>
      </c>
      <c r="C15">
        <v>1</v>
      </c>
      <c r="F15" s="1">
        <v>45708</v>
      </c>
      <c r="G15" t="s">
        <v>11</v>
      </c>
      <c r="H15">
        <v>1</v>
      </c>
    </row>
    <row r="16" spans="1:9" x14ac:dyDescent="0.2">
      <c r="A16" s="1">
        <v>45713</v>
      </c>
      <c r="B16" t="str">
        <f>VLOOKUP(formler!D17,formler!$A$2:$B$8,2,FALSE)</f>
        <v>Tirsdag</v>
      </c>
      <c r="C16">
        <v>1.5</v>
      </c>
      <c r="F16" s="1">
        <v>45713</v>
      </c>
      <c r="G16" t="s">
        <v>9</v>
      </c>
      <c r="H16">
        <v>2.5</v>
      </c>
    </row>
    <row r="17" spans="1:9" ht="15.75" thickBot="1" x14ac:dyDescent="0.25">
      <c r="A17" s="2">
        <v>45715</v>
      </c>
      <c r="B17" s="3" t="str">
        <f>VLOOKUP(formler!D18,formler!$A$2:$B$8,2,FALSE)</f>
        <v>Torsdag</v>
      </c>
      <c r="C17" s="3">
        <v>1</v>
      </c>
      <c r="F17" s="2">
        <v>45715</v>
      </c>
      <c r="G17" s="3" t="s">
        <v>11</v>
      </c>
      <c r="H17" s="3">
        <v>1</v>
      </c>
    </row>
    <row r="18" spans="1:9" x14ac:dyDescent="0.2">
      <c r="A18" s="1">
        <v>45720</v>
      </c>
      <c r="B18" t="str">
        <f>VLOOKUP(formler!D19,formler!$A$2:$B$8,2,FALSE)</f>
        <v>Tirsdag</v>
      </c>
      <c r="C18">
        <v>2.5</v>
      </c>
      <c r="F18" s="1">
        <v>45720</v>
      </c>
      <c r="G18" t="s">
        <v>9</v>
      </c>
      <c r="H18">
        <v>1.5</v>
      </c>
    </row>
    <row r="19" spans="1:9" x14ac:dyDescent="0.2">
      <c r="A19" s="1">
        <v>45722</v>
      </c>
      <c r="B19" t="str">
        <f>VLOOKUP(formler!D20,formler!$A$2:$B$8,2,FALSE)</f>
        <v>Torsdag</v>
      </c>
      <c r="C19">
        <v>1</v>
      </c>
      <c r="F19" s="1">
        <v>45722</v>
      </c>
      <c r="G19" t="s">
        <v>11</v>
      </c>
      <c r="H19">
        <v>1</v>
      </c>
    </row>
    <row r="20" spans="1:9" x14ac:dyDescent="0.2">
      <c r="A20" s="1">
        <v>45727</v>
      </c>
      <c r="B20" t="str">
        <f>VLOOKUP(formler!D21,formler!$A$2:$B$8,2,FALSE)</f>
        <v>Tirsdag</v>
      </c>
      <c r="C20">
        <v>1.5</v>
      </c>
      <c r="F20" s="1">
        <v>45727</v>
      </c>
      <c r="G20" t="s">
        <v>9</v>
      </c>
      <c r="H20">
        <v>1.5</v>
      </c>
    </row>
    <row r="21" spans="1:9" x14ac:dyDescent="0.2">
      <c r="A21" s="1">
        <v>45729</v>
      </c>
      <c r="B21" t="str">
        <f>VLOOKUP(formler!D22,formler!$A$2:$B$8,2,FALSE)</f>
        <v>Torsdag</v>
      </c>
      <c r="C21">
        <v>1</v>
      </c>
      <c r="F21" s="1">
        <v>45729</v>
      </c>
      <c r="G21" t="s">
        <v>11</v>
      </c>
      <c r="H21">
        <v>1</v>
      </c>
    </row>
    <row r="22" spans="1:9" x14ac:dyDescent="0.2">
      <c r="A22" s="1">
        <v>45734</v>
      </c>
      <c r="B22" t="str">
        <f>VLOOKUP(formler!D23,formler!$A$2:$B$8,2,FALSE)</f>
        <v>Tirsdag</v>
      </c>
      <c r="C22">
        <v>1.5</v>
      </c>
      <c r="F22" s="1">
        <v>45734</v>
      </c>
      <c r="G22" t="s">
        <v>9</v>
      </c>
      <c r="H22">
        <v>2.5</v>
      </c>
    </row>
    <row r="23" spans="1:9" x14ac:dyDescent="0.2">
      <c r="A23" s="1">
        <v>45736</v>
      </c>
      <c r="B23" t="str">
        <f>VLOOKUP(formler!D24,formler!$A$2:$B$8,2,FALSE)</f>
        <v>Torsdag</v>
      </c>
      <c r="C23">
        <v>1</v>
      </c>
      <c r="F23" s="1">
        <v>45736</v>
      </c>
      <c r="G23" t="s">
        <v>11</v>
      </c>
      <c r="H23">
        <v>1</v>
      </c>
    </row>
    <row r="24" spans="1:9" x14ac:dyDescent="0.2">
      <c r="A24" s="1">
        <v>45741</v>
      </c>
      <c r="B24" t="str">
        <f>VLOOKUP(formler!D25,formler!$A$2:$B$8,2,FALSE)</f>
        <v>Tirsdag</v>
      </c>
      <c r="C24">
        <v>2.5</v>
      </c>
      <c r="F24" s="1">
        <v>45741</v>
      </c>
      <c r="G24" t="s">
        <v>9</v>
      </c>
      <c r="H24">
        <v>1.5</v>
      </c>
    </row>
    <row r="25" spans="1:9" ht="15.75" thickBot="1" x14ac:dyDescent="0.25">
      <c r="A25" s="2">
        <v>45743</v>
      </c>
      <c r="B25" s="3" t="str">
        <f>VLOOKUP(formler!D26,formler!$A$2:$B$8,2,FALSE)</f>
        <v>Torsdag</v>
      </c>
      <c r="C25" s="3">
        <v>1</v>
      </c>
      <c r="F25" s="2">
        <v>45743</v>
      </c>
      <c r="G25" s="3" t="s">
        <v>11</v>
      </c>
      <c r="H25" s="3">
        <v>1</v>
      </c>
    </row>
    <row r="26" spans="1:9" x14ac:dyDescent="0.2">
      <c r="A26" s="1">
        <v>45748</v>
      </c>
      <c r="B26" t="str">
        <f>VLOOKUP(formler!D27,formler!$A$2:$B$8,2,FALSE)</f>
        <v>Tirsdag</v>
      </c>
      <c r="C26">
        <v>1.5</v>
      </c>
      <c r="F26" s="1">
        <v>45748</v>
      </c>
      <c r="G26" t="s">
        <v>9</v>
      </c>
      <c r="H26">
        <v>1.5</v>
      </c>
    </row>
    <row r="27" spans="1:9" x14ac:dyDescent="0.2">
      <c r="A27" s="1">
        <v>45750</v>
      </c>
      <c r="B27" t="str">
        <f>VLOOKUP(formler!D28,formler!$A$2:$B$8,2,FALSE)</f>
        <v>Torsdag</v>
      </c>
      <c r="C27">
        <v>1</v>
      </c>
      <c r="F27" s="1">
        <v>45750</v>
      </c>
      <c r="G27" t="s">
        <v>11</v>
      </c>
      <c r="H27">
        <v>1</v>
      </c>
    </row>
    <row r="28" spans="1:9" x14ac:dyDescent="0.2">
      <c r="A28" s="1">
        <v>45755</v>
      </c>
      <c r="B28" t="str">
        <f>VLOOKUP(formler!D29,formler!$A$2:$B$8,2,FALSE)</f>
        <v>Tirsdag</v>
      </c>
      <c r="C28">
        <v>2.5</v>
      </c>
      <c r="F28" s="1">
        <v>45755</v>
      </c>
      <c r="G28" t="s">
        <v>9</v>
      </c>
      <c r="H28">
        <v>2.5</v>
      </c>
    </row>
    <row r="29" spans="1:9" x14ac:dyDescent="0.2">
      <c r="A29" s="1">
        <v>45757</v>
      </c>
      <c r="B29" t="str">
        <f>VLOOKUP(formler!D30,formler!$A$2:$B$8,2,FALSE)</f>
        <v>Torsdag</v>
      </c>
      <c r="C29">
        <v>1</v>
      </c>
      <c r="F29" s="1">
        <v>45757</v>
      </c>
      <c r="G29" t="s">
        <v>11</v>
      </c>
      <c r="H29">
        <v>1</v>
      </c>
    </row>
    <row r="30" spans="1:9" x14ac:dyDescent="0.2">
      <c r="A30" s="1">
        <v>45762</v>
      </c>
      <c r="B30" t="str">
        <f>VLOOKUP(formler!D31,formler!$A$2:$B$8,2,FALSE)</f>
        <v>Tirsdag</v>
      </c>
      <c r="C30">
        <v>0</v>
      </c>
      <c r="D30" t="s">
        <v>17</v>
      </c>
      <c r="F30" s="1">
        <v>45762</v>
      </c>
      <c r="G30" t="s">
        <v>9</v>
      </c>
      <c r="H30">
        <v>0</v>
      </c>
      <c r="I30" t="s">
        <v>17</v>
      </c>
    </row>
    <row r="31" spans="1:9" x14ac:dyDescent="0.2">
      <c r="A31" s="1">
        <v>45764</v>
      </c>
      <c r="B31" t="str">
        <f>VLOOKUP(formler!D32,formler!$A$2:$B$8,2,FALSE)</f>
        <v>Torsdag</v>
      </c>
      <c r="C31">
        <v>0</v>
      </c>
      <c r="D31" t="s">
        <v>17</v>
      </c>
      <c r="F31" s="1">
        <v>45764</v>
      </c>
      <c r="G31" t="s">
        <v>11</v>
      </c>
      <c r="H31">
        <v>0</v>
      </c>
      <c r="I31" t="s">
        <v>17</v>
      </c>
    </row>
    <row r="32" spans="1:9" x14ac:dyDescent="0.2">
      <c r="A32" s="1">
        <v>45769</v>
      </c>
      <c r="B32" t="str">
        <f>VLOOKUP(formler!D33,formler!$A$2:$B$8,2,FALSE)</f>
        <v>Tirsdag</v>
      </c>
      <c r="C32">
        <v>1.5</v>
      </c>
      <c r="F32" s="1">
        <v>45769</v>
      </c>
      <c r="G32" t="s">
        <v>9</v>
      </c>
      <c r="H32">
        <v>1.5</v>
      </c>
    </row>
    <row r="33" spans="1:9" x14ac:dyDescent="0.2">
      <c r="A33" s="1">
        <v>45771</v>
      </c>
      <c r="B33" t="str">
        <f>VLOOKUP(formler!D34,formler!$A$2:$B$8,2,FALSE)</f>
        <v>Torsdag</v>
      </c>
      <c r="C33">
        <v>1</v>
      </c>
      <c r="F33" s="1">
        <v>45771</v>
      </c>
      <c r="G33" t="s">
        <v>11</v>
      </c>
      <c r="H33">
        <v>1</v>
      </c>
    </row>
    <row r="34" spans="1:9" ht="15.75" thickBot="1" x14ac:dyDescent="0.25">
      <c r="A34" s="2">
        <v>45776</v>
      </c>
      <c r="B34" s="3" t="str">
        <f>VLOOKUP(formler!D35,formler!$A$2:$B$8,2,FALSE)</f>
        <v>Tirsdag</v>
      </c>
      <c r="C34" s="3">
        <v>1.5</v>
      </c>
      <c r="F34" s="2">
        <v>45776</v>
      </c>
      <c r="G34" s="3" t="s">
        <v>9</v>
      </c>
      <c r="H34" s="3">
        <v>2.5</v>
      </c>
    </row>
    <row r="35" spans="1:9" x14ac:dyDescent="0.2">
      <c r="A35" s="1">
        <v>45778</v>
      </c>
      <c r="B35" t="str">
        <f>VLOOKUP(formler!D36,formler!$A$2:$B$8,2,FALSE)</f>
        <v>Torsdag</v>
      </c>
      <c r="C35">
        <v>0</v>
      </c>
      <c r="D35" s="4">
        <v>45413</v>
      </c>
      <c r="F35" s="1">
        <v>45778</v>
      </c>
      <c r="G35" t="s">
        <v>11</v>
      </c>
      <c r="H35">
        <v>0</v>
      </c>
      <c r="I35" s="4">
        <v>45413</v>
      </c>
    </row>
    <row r="36" spans="1:9" x14ac:dyDescent="0.2">
      <c r="A36" s="1">
        <v>45783</v>
      </c>
      <c r="B36" t="str">
        <f>VLOOKUP(formler!D37,formler!$A$2:$B$8,2,FALSE)</f>
        <v>Tirsdag</v>
      </c>
      <c r="C36">
        <v>2.5</v>
      </c>
      <c r="F36" s="1">
        <v>45783</v>
      </c>
      <c r="G36" t="s">
        <v>9</v>
      </c>
      <c r="H36">
        <v>1.5</v>
      </c>
    </row>
    <row r="37" spans="1:9" x14ac:dyDescent="0.2">
      <c r="A37" s="1">
        <v>45785</v>
      </c>
      <c r="B37" t="str">
        <f>VLOOKUP(formler!D38,formler!$A$2:$B$8,2,FALSE)</f>
        <v>Torsdag</v>
      </c>
      <c r="C37">
        <v>1</v>
      </c>
      <c r="F37" s="1">
        <v>45785</v>
      </c>
      <c r="G37" t="s">
        <v>11</v>
      </c>
      <c r="H37">
        <v>1</v>
      </c>
    </row>
    <row r="38" spans="1:9" x14ac:dyDescent="0.2">
      <c r="A38" s="1">
        <v>45790</v>
      </c>
      <c r="B38" t="str">
        <f>VLOOKUP(formler!D39,formler!$A$2:$B$8,2,FALSE)</f>
        <v>Tirsdag</v>
      </c>
      <c r="C38">
        <v>1.5</v>
      </c>
      <c r="F38" s="1">
        <v>45790</v>
      </c>
      <c r="G38" t="s">
        <v>9</v>
      </c>
      <c r="H38">
        <v>1.5</v>
      </c>
    </row>
    <row r="39" spans="1:9" x14ac:dyDescent="0.2">
      <c r="A39" s="1">
        <v>45792</v>
      </c>
      <c r="B39" t="str">
        <f>VLOOKUP(formler!D40,formler!$A$2:$B$8,2,FALSE)</f>
        <v>Torsdag</v>
      </c>
      <c r="C39">
        <v>1</v>
      </c>
      <c r="F39" s="1">
        <v>45792</v>
      </c>
      <c r="G39" t="s">
        <v>11</v>
      </c>
      <c r="H39">
        <v>1</v>
      </c>
    </row>
    <row r="40" spans="1:9" x14ac:dyDescent="0.2">
      <c r="A40" s="1">
        <v>45797</v>
      </c>
      <c r="B40" t="str">
        <f>VLOOKUP(formler!D41,formler!$A$2:$B$8,2,FALSE)</f>
        <v>Tirsdag</v>
      </c>
      <c r="C40">
        <v>1.5</v>
      </c>
      <c r="F40" s="1">
        <v>45797</v>
      </c>
      <c r="G40" t="s">
        <v>9</v>
      </c>
      <c r="H40">
        <v>2.5</v>
      </c>
    </row>
    <row r="41" spans="1:9" x14ac:dyDescent="0.2">
      <c r="A41" s="1">
        <v>45799</v>
      </c>
      <c r="B41" t="str">
        <f>VLOOKUP(formler!D42,formler!$A$2:$B$8,2,FALSE)</f>
        <v>Torsdag</v>
      </c>
      <c r="C41">
        <v>1</v>
      </c>
      <c r="F41" s="1">
        <v>45799</v>
      </c>
      <c r="G41" t="s">
        <v>11</v>
      </c>
      <c r="H41">
        <v>1</v>
      </c>
    </row>
    <row r="42" spans="1:9" x14ac:dyDescent="0.2">
      <c r="A42" s="1">
        <v>45804</v>
      </c>
      <c r="B42" t="str">
        <f>VLOOKUP(formler!D43,formler!$A$2:$B$8,2,FALSE)</f>
        <v>Tirsdag</v>
      </c>
      <c r="C42">
        <v>2.5</v>
      </c>
      <c r="F42" s="1">
        <v>45804</v>
      </c>
      <c r="G42" t="s">
        <v>9</v>
      </c>
      <c r="H42">
        <v>1.5</v>
      </c>
    </row>
    <row r="43" spans="1:9" ht="15.75" thickBot="1" x14ac:dyDescent="0.25">
      <c r="A43" s="2">
        <v>45806</v>
      </c>
      <c r="B43" s="3" t="str">
        <f>VLOOKUP(formler!D44,formler!$A$2:$B$8,2,FALSE)</f>
        <v>Torsdag</v>
      </c>
      <c r="C43" s="3">
        <v>0</v>
      </c>
      <c r="D43" t="s">
        <v>18</v>
      </c>
      <c r="F43" s="2">
        <v>45806</v>
      </c>
      <c r="G43" s="3" t="s">
        <v>11</v>
      </c>
      <c r="H43" s="3">
        <v>0</v>
      </c>
      <c r="I43" t="s">
        <v>18</v>
      </c>
    </row>
    <row r="44" spans="1:9" x14ac:dyDescent="0.2">
      <c r="A44" s="1">
        <v>45811</v>
      </c>
      <c r="B44" t="str">
        <f>VLOOKUP(formler!D45,formler!$A$2:$B$8,2,FALSE)</f>
        <v>Tirsdag</v>
      </c>
      <c r="C44">
        <v>1.5</v>
      </c>
      <c r="F44" s="1">
        <v>45811</v>
      </c>
      <c r="G44" t="s">
        <v>9</v>
      </c>
      <c r="H44">
        <v>1.5</v>
      </c>
    </row>
    <row r="45" spans="1:9" x14ac:dyDescent="0.2">
      <c r="A45" s="1">
        <v>45813</v>
      </c>
      <c r="B45" t="str">
        <f>VLOOKUP(formler!D46,formler!$A$2:$B$8,2,FALSE)</f>
        <v>Torsdag</v>
      </c>
      <c r="C45">
        <v>1</v>
      </c>
      <c r="F45" s="1">
        <v>45813</v>
      </c>
      <c r="G45" t="s">
        <v>11</v>
      </c>
      <c r="H45">
        <v>1</v>
      </c>
    </row>
    <row r="46" spans="1:9" x14ac:dyDescent="0.2">
      <c r="A46" s="1">
        <v>45818</v>
      </c>
      <c r="B46" t="str">
        <f>VLOOKUP(formler!D47,formler!$A$2:$B$8,2,FALSE)</f>
        <v>Tirsdag</v>
      </c>
      <c r="C46">
        <v>1.5</v>
      </c>
      <c r="F46" s="1">
        <v>45818</v>
      </c>
      <c r="G46" t="s">
        <v>9</v>
      </c>
      <c r="H46">
        <v>2.5</v>
      </c>
    </row>
    <row r="47" spans="1:9" x14ac:dyDescent="0.2">
      <c r="A47" s="1">
        <v>45820</v>
      </c>
      <c r="B47" t="str">
        <f>VLOOKUP(formler!D48,formler!$A$2:$B$8,2,FALSE)</f>
        <v>Torsdag</v>
      </c>
      <c r="C47">
        <v>1</v>
      </c>
      <c r="F47" s="1">
        <v>45820</v>
      </c>
      <c r="G47" t="s">
        <v>11</v>
      </c>
      <c r="H47">
        <v>1</v>
      </c>
    </row>
    <row r="48" spans="1:9" x14ac:dyDescent="0.2">
      <c r="A48" s="1">
        <v>45825</v>
      </c>
      <c r="B48" t="str">
        <f>VLOOKUP(formler!D49,formler!$A$2:$B$8,2,FALSE)</f>
        <v>Tirsdag</v>
      </c>
      <c r="C48">
        <v>2.5</v>
      </c>
      <c r="F48" s="1">
        <v>45825</v>
      </c>
      <c r="G48" t="s">
        <v>9</v>
      </c>
      <c r="H48">
        <v>1.5</v>
      </c>
    </row>
    <row r="49" spans="1:8" x14ac:dyDescent="0.2">
      <c r="A49" s="1">
        <v>45827</v>
      </c>
      <c r="B49" t="str">
        <f>VLOOKUP(formler!D50,formler!$A$2:$B$8,2,FALSE)</f>
        <v>Torsdag</v>
      </c>
      <c r="C49">
        <v>1</v>
      </c>
      <c r="F49" s="1">
        <v>45827</v>
      </c>
      <c r="G49" t="s">
        <v>11</v>
      </c>
      <c r="H49">
        <v>1</v>
      </c>
    </row>
    <row r="50" spans="1:8" x14ac:dyDescent="0.2">
      <c r="A50" s="1">
        <v>45832</v>
      </c>
      <c r="B50" t="str">
        <f>VLOOKUP(formler!D51,formler!$A$2:$B$8,2,FALSE)</f>
        <v>Tirsdag</v>
      </c>
      <c r="C50">
        <v>1.5</v>
      </c>
      <c r="F50" s="1">
        <v>45832</v>
      </c>
      <c r="G50" t="s">
        <v>9</v>
      </c>
      <c r="H50">
        <v>1.5</v>
      </c>
    </row>
    <row r="51" spans="1:8" ht="15.75" thickBot="1" x14ac:dyDescent="0.25">
      <c r="A51" s="2">
        <v>45834</v>
      </c>
      <c r="B51" s="3" t="str">
        <f>VLOOKUP(formler!D52,formler!$A$2:$B$8,2,FALSE)</f>
        <v>Torsdag</v>
      </c>
      <c r="C51" s="3">
        <v>1</v>
      </c>
      <c r="F51" s="2">
        <v>45834</v>
      </c>
      <c r="G51" s="3" t="s">
        <v>11</v>
      </c>
      <c r="H51" s="3">
        <v>1</v>
      </c>
    </row>
    <row r="52" spans="1:8" x14ac:dyDescent="0.2">
      <c r="C52">
        <f>SUM(C2:C51)</f>
        <v>66</v>
      </c>
      <c r="H52">
        <f>SUM(H2:H51)</f>
        <v>64.5</v>
      </c>
    </row>
    <row r="56" spans="1:8" x14ac:dyDescent="0.2">
      <c r="A56" s="1">
        <v>45881</v>
      </c>
      <c r="B56" t="str">
        <f>VLOOKUP(formler!D55,formler!$A$2:$B$8,2,FALSE)</f>
        <v>Tirsdag</v>
      </c>
      <c r="C56">
        <v>1.5</v>
      </c>
      <c r="F56" s="1">
        <v>45881</v>
      </c>
      <c r="G56" t="s">
        <v>9</v>
      </c>
      <c r="H56">
        <v>1.5</v>
      </c>
    </row>
    <row r="57" spans="1:8" x14ac:dyDescent="0.2">
      <c r="A57" s="1">
        <v>45883</v>
      </c>
      <c r="B57" t="str">
        <f>VLOOKUP(formler!D56,formler!$A$2:$B$8,2,FALSE)</f>
        <v>Torsdag</v>
      </c>
      <c r="C57">
        <v>1</v>
      </c>
      <c r="F57" s="1">
        <v>45883</v>
      </c>
      <c r="G57" t="s">
        <v>11</v>
      </c>
      <c r="H57">
        <v>1</v>
      </c>
    </row>
    <row r="58" spans="1:8" x14ac:dyDescent="0.2">
      <c r="A58" s="1">
        <v>45888</v>
      </c>
      <c r="B58" t="str">
        <f>VLOOKUP(formler!D57,formler!$A$2:$B$8,2,FALSE)</f>
        <v>Tirsdag</v>
      </c>
      <c r="C58">
        <v>1.5</v>
      </c>
      <c r="F58" s="1">
        <v>45888</v>
      </c>
      <c r="G58" t="s">
        <v>9</v>
      </c>
      <c r="H58">
        <v>1.5</v>
      </c>
    </row>
    <row r="59" spans="1:8" x14ac:dyDescent="0.2">
      <c r="A59" s="1">
        <v>45890</v>
      </c>
      <c r="B59" t="str">
        <f>VLOOKUP(formler!D58,formler!$A$2:$B$8,2,FALSE)</f>
        <v>Torsdag</v>
      </c>
      <c r="C59">
        <v>1</v>
      </c>
      <c r="F59" s="1">
        <v>45890</v>
      </c>
      <c r="G59" t="s">
        <v>11</v>
      </c>
      <c r="H59">
        <v>1</v>
      </c>
    </row>
    <row r="60" spans="1:8" x14ac:dyDescent="0.2">
      <c r="A60" s="1">
        <v>45895</v>
      </c>
      <c r="B60" t="str">
        <f>VLOOKUP(formler!D59,formler!$A$2:$B$8,2,FALSE)</f>
        <v>Tirsdag</v>
      </c>
      <c r="C60">
        <v>2.5</v>
      </c>
      <c r="F60" s="1">
        <v>45895</v>
      </c>
      <c r="G60" t="s">
        <v>9</v>
      </c>
      <c r="H60">
        <v>2.5</v>
      </c>
    </row>
    <row r="61" spans="1:8" ht="15.75" thickBot="1" x14ac:dyDescent="0.25">
      <c r="A61" s="2">
        <v>45897</v>
      </c>
      <c r="B61" s="3" t="str">
        <f>VLOOKUP(formler!D60,formler!$A$2:$B$8,2,FALSE)</f>
        <v>Torsdag</v>
      </c>
      <c r="C61" s="3">
        <v>1</v>
      </c>
      <c r="F61" s="2">
        <v>45897</v>
      </c>
      <c r="G61" s="3" t="s">
        <v>11</v>
      </c>
      <c r="H61" s="3">
        <v>1</v>
      </c>
    </row>
    <row r="62" spans="1:8" x14ac:dyDescent="0.2">
      <c r="A62" s="1">
        <v>45902</v>
      </c>
      <c r="B62" t="str">
        <f>VLOOKUP(formler!D61,formler!$A$2:$B$8,2,FALSE)</f>
        <v>Tirsdag</v>
      </c>
      <c r="C62">
        <v>1.5</v>
      </c>
      <c r="F62" s="1">
        <v>45902</v>
      </c>
      <c r="G62" t="s">
        <v>9</v>
      </c>
      <c r="H62">
        <v>1.5</v>
      </c>
    </row>
    <row r="63" spans="1:8" x14ac:dyDescent="0.2">
      <c r="A63" s="1">
        <v>45904</v>
      </c>
      <c r="B63" t="str">
        <f>VLOOKUP(formler!D62,formler!$A$2:$B$8,2,FALSE)</f>
        <v>Torsdag</v>
      </c>
      <c r="C63">
        <v>1</v>
      </c>
      <c r="F63" s="1">
        <v>45904</v>
      </c>
      <c r="G63" t="s">
        <v>11</v>
      </c>
      <c r="H63">
        <v>1</v>
      </c>
    </row>
    <row r="64" spans="1:8" x14ac:dyDescent="0.2">
      <c r="A64" s="1">
        <v>45909</v>
      </c>
      <c r="B64" t="str">
        <f>VLOOKUP(formler!D63,formler!$A$2:$B$8,2,FALSE)</f>
        <v>Tirsdag</v>
      </c>
      <c r="C64">
        <v>1.5</v>
      </c>
      <c r="F64" s="1">
        <v>45909</v>
      </c>
      <c r="G64" t="s">
        <v>9</v>
      </c>
      <c r="H64">
        <v>1.5</v>
      </c>
    </row>
    <row r="65" spans="1:8" x14ac:dyDescent="0.2">
      <c r="A65" s="1">
        <v>45911</v>
      </c>
      <c r="B65" t="str">
        <f>VLOOKUP(formler!D64,formler!$A$2:$B$8,2,FALSE)</f>
        <v>Torsdag</v>
      </c>
      <c r="C65">
        <v>1</v>
      </c>
      <c r="F65" s="1">
        <v>45911</v>
      </c>
      <c r="G65" t="s">
        <v>11</v>
      </c>
      <c r="H65">
        <v>1</v>
      </c>
    </row>
    <row r="66" spans="1:8" x14ac:dyDescent="0.2">
      <c r="A66" s="1">
        <v>45916</v>
      </c>
      <c r="B66" t="str">
        <f>VLOOKUP(formler!D65,formler!$A$2:$B$8,2,FALSE)</f>
        <v>Tirsdag</v>
      </c>
      <c r="C66">
        <v>2.5</v>
      </c>
      <c r="F66" s="1">
        <v>45916</v>
      </c>
      <c r="G66" t="s">
        <v>9</v>
      </c>
      <c r="H66">
        <v>2.5</v>
      </c>
    </row>
    <row r="67" spans="1:8" x14ac:dyDescent="0.2">
      <c r="A67" s="1">
        <v>45918</v>
      </c>
      <c r="B67" t="str">
        <f>VLOOKUP(formler!D66,formler!$A$2:$B$8,2,FALSE)</f>
        <v>Torsdag</v>
      </c>
      <c r="C67">
        <v>1</v>
      </c>
      <c r="F67" s="1">
        <v>45918</v>
      </c>
      <c r="G67" t="s">
        <v>11</v>
      </c>
      <c r="H67">
        <v>1</v>
      </c>
    </row>
    <row r="68" spans="1:8" x14ac:dyDescent="0.2">
      <c r="A68" s="1">
        <v>45923</v>
      </c>
      <c r="B68" t="str">
        <f>VLOOKUP(formler!D67,formler!$A$2:$B$8,2,FALSE)</f>
        <v>Tirsdag</v>
      </c>
      <c r="C68">
        <v>1.5</v>
      </c>
      <c r="F68" s="1">
        <v>45923</v>
      </c>
      <c r="G68" t="s">
        <v>9</v>
      </c>
      <c r="H68">
        <v>1.5</v>
      </c>
    </row>
    <row r="69" spans="1:8" x14ac:dyDescent="0.2">
      <c r="A69" s="1">
        <v>45925</v>
      </c>
      <c r="B69" t="str">
        <f>VLOOKUP(formler!D68,formler!$A$2:$B$8,2,FALSE)</f>
        <v>Torsdag</v>
      </c>
      <c r="C69">
        <v>1</v>
      </c>
      <c r="F69" s="1">
        <v>45925</v>
      </c>
      <c r="G69" t="s">
        <v>11</v>
      </c>
      <c r="H69">
        <v>1</v>
      </c>
    </row>
    <row r="70" spans="1:8" ht="15.75" thickBot="1" x14ac:dyDescent="0.25">
      <c r="A70" s="2">
        <v>45930</v>
      </c>
      <c r="B70" s="3" t="str">
        <f>VLOOKUP(formler!D69,formler!$A$2:$B$8,2,FALSE)</f>
        <v>Tirsdag</v>
      </c>
      <c r="C70" s="3">
        <v>1.5</v>
      </c>
      <c r="F70" s="2">
        <v>45930</v>
      </c>
      <c r="G70" s="3" t="s">
        <v>9</v>
      </c>
      <c r="H70" s="3">
        <v>1.5</v>
      </c>
    </row>
    <row r="71" spans="1:8" x14ac:dyDescent="0.2">
      <c r="A71" s="1">
        <v>45932</v>
      </c>
      <c r="B71" t="str">
        <f>VLOOKUP(formler!D70,formler!$A$2:$B$8,2,FALSE)</f>
        <v>Torsdag</v>
      </c>
      <c r="C71">
        <v>1</v>
      </c>
      <c r="F71" s="1">
        <v>45932</v>
      </c>
      <c r="G71" t="s">
        <v>11</v>
      </c>
      <c r="H71">
        <v>1</v>
      </c>
    </row>
    <row r="72" spans="1:8" x14ac:dyDescent="0.2">
      <c r="A72" s="1">
        <v>45937</v>
      </c>
      <c r="B72" t="str">
        <f>VLOOKUP(formler!D71,formler!$A$2:$B$8,2,FALSE)</f>
        <v>Tirsdag</v>
      </c>
      <c r="C72">
        <v>2.5</v>
      </c>
      <c r="F72" s="1">
        <v>45937</v>
      </c>
      <c r="G72" t="s">
        <v>9</v>
      </c>
      <c r="H72">
        <v>2.5</v>
      </c>
    </row>
    <row r="73" spans="1:8" x14ac:dyDescent="0.2">
      <c r="A73" s="1">
        <v>45939</v>
      </c>
      <c r="B73" t="str">
        <f>VLOOKUP(formler!D72,formler!$A$2:$B$8,2,FALSE)</f>
        <v>Torsdag</v>
      </c>
      <c r="C73">
        <v>1</v>
      </c>
      <c r="F73" s="1">
        <v>45939</v>
      </c>
      <c r="G73" t="s">
        <v>11</v>
      </c>
      <c r="H73">
        <v>1</v>
      </c>
    </row>
    <row r="74" spans="1:8" x14ac:dyDescent="0.2">
      <c r="A74" s="1">
        <v>45944</v>
      </c>
      <c r="B74" t="str">
        <f>VLOOKUP(formler!D73,formler!$A$2:$B$8,2,FALSE)</f>
        <v>Tirsdag</v>
      </c>
      <c r="C74">
        <v>1.5</v>
      </c>
      <c r="F74" s="1">
        <v>45944</v>
      </c>
      <c r="G74" t="s">
        <v>9</v>
      </c>
      <c r="H74">
        <v>1.5</v>
      </c>
    </row>
    <row r="75" spans="1:8" x14ac:dyDescent="0.2">
      <c r="A75" s="1">
        <v>45946</v>
      </c>
      <c r="B75" t="str">
        <f>VLOOKUP(formler!D74,formler!$A$2:$B$8,2,FALSE)</f>
        <v>Torsdag</v>
      </c>
      <c r="C75">
        <v>1</v>
      </c>
      <c r="F75" s="1">
        <v>45946</v>
      </c>
      <c r="G75" t="s">
        <v>11</v>
      </c>
      <c r="H75">
        <v>1</v>
      </c>
    </row>
    <row r="76" spans="1:8" x14ac:dyDescent="0.2">
      <c r="A76" s="1">
        <v>45951</v>
      </c>
      <c r="B76" t="str">
        <f>VLOOKUP(formler!D75,formler!$A$2:$B$8,2,FALSE)</f>
        <v>Tirsdag</v>
      </c>
      <c r="C76">
        <v>1.5</v>
      </c>
      <c r="F76" s="1">
        <v>45951</v>
      </c>
      <c r="G76" t="s">
        <v>9</v>
      </c>
      <c r="H76">
        <v>1.5</v>
      </c>
    </row>
    <row r="77" spans="1:8" x14ac:dyDescent="0.2">
      <c r="A77" s="1">
        <v>45953</v>
      </c>
      <c r="B77" t="str">
        <f>VLOOKUP(formler!D76,formler!$A$2:$B$8,2,FALSE)</f>
        <v>Torsdag</v>
      </c>
      <c r="C77">
        <v>1</v>
      </c>
      <c r="F77" s="1">
        <v>45953</v>
      </c>
      <c r="G77" t="s">
        <v>11</v>
      </c>
      <c r="H77">
        <v>1</v>
      </c>
    </row>
    <row r="78" spans="1:8" x14ac:dyDescent="0.2">
      <c r="A78" s="1">
        <v>45958</v>
      </c>
      <c r="B78" t="str">
        <f>VLOOKUP(formler!D77,formler!$A$2:$B$8,2,FALSE)</f>
        <v>Tirsdag</v>
      </c>
      <c r="C78">
        <v>2.5</v>
      </c>
      <c r="F78" s="1">
        <v>45958</v>
      </c>
      <c r="G78" t="s">
        <v>9</v>
      </c>
      <c r="H78">
        <v>2.5</v>
      </c>
    </row>
    <row r="79" spans="1:8" ht="15.75" thickBot="1" x14ac:dyDescent="0.25">
      <c r="A79" s="2">
        <v>45960</v>
      </c>
      <c r="B79" s="3" t="str">
        <f>VLOOKUP(formler!D78,formler!$A$2:$B$8,2,FALSE)</f>
        <v>Torsdag</v>
      </c>
      <c r="C79" s="3">
        <v>1</v>
      </c>
      <c r="F79" s="2">
        <v>45960</v>
      </c>
      <c r="G79" s="3" t="s">
        <v>11</v>
      </c>
      <c r="H79" s="3">
        <v>1</v>
      </c>
    </row>
    <row r="80" spans="1:8" x14ac:dyDescent="0.2">
      <c r="A80" s="1">
        <v>45965</v>
      </c>
      <c r="B80" t="str">
        <f>VLOOKUP(formler!D79,formler!$A$2:$B$8,2,FALSE)</f>
        <v>Tirsdag</v>
      </c>
      <c r="C80">
        <v>1.5</v>
      </c>
      <c r="F80" s="1">
        <v>45965</v>
      </c>
      <c r="G80" t="s">
        <v>9</v>
      </c>
      <c r="H80">
        <v>1.5</v>
      </c>
    </row>
    <row r="81" spans="1:8" x14ac:dyDescent="0.2">
      <c r="A81" s="1">
        <v>45967</v>
      </c>
      <c r="B81" t="str">
        <f>VLOOKUP(formler!D80,formler!$A$2:$B$8,2,FALSE)</f>
        <v>Torsdag</v>
      </c>
      <c r="C81">
        <v>1</v>
      </c>
      <c r="F81" s="1">
        <v>45967</v>
      </c>
      <c r="G81" t="s">
        <v>11</v>
      </c>
      <c r="H81">
        <v>1</v>
      </c>
    </row>
    <row r="82" spans="1:8" x14ac:dyDescent="0.2">
      <c r="A82" s="1">
        <v>45972</v>
      </c>
      <c r="B82" t="str">
        <f>VLOOKUP(formler!D81,formler!$A$2:$B$8,2,FALSE)</f>
        <v>Tirsdag</v>
      </c>
      <c r="C82">
        <v>1.5</v>
      </c>
      <c r="F82" s="1">
        <v>45972</v>
      </c>
      <c r="G82" t="s">
        <v>9</v>
      </c>
      <c r="H82">
        <v>1.5</v>
      </c>
    </row>
    <row r="83" spans="1:8" x14ac:dyDescent="0.2">
      <c r="A83" s="1">
        <v>45974</v>
      </c>
      <c r="B83" t="str">
        <f>VLOOKUP(formler!D82,formler!$A$2:$B$8,2,FALSE)</f>
        <v>Torsdag</v>
      </c>
      <c r="C83">
        <v>1</v>
      </c>
      <c r="F83" s="1">
        <v>45974</v>
      </c>
      <c r="G83" t="s">
        <v>11</v>
      </c>
      <c r="H83">
        <v>1</v>
      </c>
    </row>
    <row r="84" spans="1:8" x14ac:dyDescent="0.2">
      <c r="A84" s="1">
        <v>45979</v>
      </c>
      <c r="B84" t="str">
        <f>VLOOKUP(formler!D83,formler!$A$2:$B$8,2,FALSE)</f>
        <v>Tirsdag</v>
      </c>
      <c r="C84">
        <v>2.5</v>
      </c>
      <c r="F84" s="1">
        <v>45979</v>
      </c>
      <c r="G84" t="s">
        <v>9</v>
      </c>
      <c r="H84">
        <v>2.5</v>
      </c>
    </row>
    <row r="85" spans="1:8" x14ac:dyDescent="0.2">
      <c r="A85" s="1">
        <v>45981</v>
      </c>
      <c r="B85" t="str">
        <f>VLOOKUP(formler!D84,formler!$A$2:$B$8,2,FALSE)</f>
        <v>Torsdag</v>
      </c>
      <c r="C85">
        <v>1</v>
      </c>
      <c r="F85" s="1">
        <v>45981</v>
      </c>
      <c r="G85" t="s">
        <v>11</v>
      </c>
      <c r="H85">
        <v>1</v>
      </c>
    </row>
    <row r="86" spans="1:8" x14ac:dyDescent="0.2">
      <c r="A86" s="1">
        <v>45986</v>
      </c>
      <c r="B86" t="str">
        <f>VLOOKUP(formler!D85,formler!$A$2:$B$8,2,FALSE)</f>
        <v>Tirsdag</v>
      </c>
      <c r="C86">
        <v>1.5</v>
      </c>
      <c r="F86" s="1">
        <v>45986</v>
      </c>
      <c r="G86" t="s">
        <v>9</v>
      </c>
      <c r="H86">
        <v>1.5</v>
      </c>
    </row>
    <row r="87" spans="1:8" ht="15.75" thickBot="1" x14ac:dyDescent="0.25">
      <c r="A87" s="2">
        <v>45988</v>
      </c>
      <c r="B87" s="3" t="str">
        <f>VLOOKUP(formler!D86,formler!$A$2:$B$8,2,FALSE)</f>
        <v>Torsdag</v>
      </c>
      <c r="C87" s="3">
        <v>1</v>
      </c>
      <c r="F87" s="2">
        <v>45988</v>
      </c>
      <c r="G87" s="3" t="s">
        <v>11</v>
      </c>
      <c r="H87" s="3">
        <v>1</v>
      </c>
    </row>
    <row r="88" spans="1:8" x14ac:dyDescent="0.2">
      <c r="A88" s="1">
        <v>45993</v>
      </c>
      <c r="B88" t="str">
        <f>VLOOKUP(formler!D87,formler!$A$2:$B$8,2,FALSE)</f>
        <v>Tirsdag</v>
      </c>
      <c r="C88">
        <v>1.5</v>
      </c>
      <c r="F88" s="1">
        <v>45993</v>
      </c>
      <c r="G88" t="s">
        <v>9</v>
      </c>
      <c r="H88">
        <v>1.5</v>
      </c>
    </row>
    <row r="89" spans="1:8" x14ac:dyDescent="0.2">
      <c r="A89" s="1">
        <v>45995</v>
      </c>
      <c r="B89" t="str">
        <f>VLOOKUP(formler!D88,formler!$A$2:$B$8,2,FALSE)</f>
        <v>Torsdag</v>
      </c>
      <c r="C89">
        <v>1</v>
      </c>
      <c r="F89" s="1">
        <v>45995</v>
      </c>
      <c r="G89" t="s">
        <v>11</v>
      </c>
      <c r="H89">
        <v>1</v>
      </c>
    </row>
    <row r="90" spans="1:8" x14ac:dyDescent="0.2">
      <c r="A90" s="1">
        <v>46000</v>
      </c>
      <c r="B90" t="str">
        <f>VLOOKUP(formler!D89,formler!$A$2:$B$8,2,FALSE)</f>
        <v>Tirsdag</v>
      </c>
      <c r="C90">
        <v>2.5</v>
      </c>
      <c r="F90" s="1">
        <v>46000</v>
      </c>
      <c r="G90" t="s">
        <v>9</v>
      </c>
      <c r="H90">
        <v>2.5</v>
      </c>
    </row>
    <row r="91" spans="1:8" x14ac:dyDescent="0.2">
      <c r="A91" s="1">
        <v>46002</v>
      </c>
      <c r="B91" t="str">
        <f>VLOOKUP(formler!D90,formler!$A$2:$B$8,2,FALSE)</f>
        <v>Torsdag</v>
      </c>
      <c r="C91">
        <v>1</v>
      </c>
      <c r="F91" s="1">
        <v>46002</v>
      </c>
      <c r="G91" t="s">
        <v>11</v>
      </c>
      <c r="H91">
        <v>1</v>
      </c>
    </row>
    <row r="92" spans="1:8" x14ac:dyDescent="0.2">
      <c r="A92" s="1">
        <v>46007</v>
      </c>
      <c r="B92" t="str">
        <f>VLOOKUP(formler!D91,formler!$A$2:$B$8,2,FALSE)</f>
        <v>Tirsdag</v>
      </c>
      <c r="C92">
        <v>1.5</v>
      </c>
      <c r="F92" s="1">
        <v>46007</v>
      </c>
      <c r="G92" t="s">
        <v>9</v>
      </c>
      <c r="H92">
        <v>1.5</v>
      </c>
    </row>
    <row r="93" spans="1:8" ht="15.75" thickBot="1" x14ac:dyDescent="0.25">
      <c r="A93" s="2">
        <v>46009</v>
      </c>
      <c r="B93" s="3" t="str">
        <f>VLOOKUP(formler!D92,formler!$A$2:$B$8,2,FALSE)</f>
        <v>Torsdag</v>
      </c>
      <c r="C93" s="3">
        <v>1</v>
      </c>
      <c r="F93" s="2">
        <v>46009</v>
      </c>
      <c r="G93" s="3" t="s">
        <v>11</v>
      </c>
      <c r="H93" s="3">
        <v>1</v>
      </c>
    </row>
    <row r="94" spans="1:8" x14ac:dyDescent="0.2">
      <c r="C94">
        <f>SUM(C56:C93)</f>
        <v>53.5</v>
      </c>
      <c r="H94">
        <f>SUM(H56:H93)</f>
        <v>53.5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2026</vt:lpstr>
      <vt:lpstr>2025</vt:lpstr>
      <vt:lpstr>formler</vt:lpstr>
      <vt:lpstr>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Jan Petter</dc:creator>
  <cp:lastModifiedBy>Jan Petter Jensen</cp:lastModifiedBy>
  <dcterms:created xsi:type="dcterms:W3CDTF">2024-01-03T12:24:04Z</dcterms:created>
  <dcterms:modified xsi:type="dcterms:W3CDTF">2026-05-15T12:52:13Z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04d2c9-1577-460e-b668-57374a0216c3_Enabled">
    <vt:lpwstr>true</vt:lpwstr>
  </property>
  <property fmtid="{D5CDD505-2E9C-101B-9397-08002B2CF9AE}" pid="3" name="MSIP_Label_f604d2c9-1577-460e-b668-57374a0216c3_SetDate">
    <vt:lpwstr>2024-01-03T12:53:28Z</vt:lpwstr>
  </property>
  <property fmtid="{D5CDD505-2E9C-101B-9397-08002B2CF9AE}" pid="4" name="MSIP_Label_f604d2c9-1577-460e-b668-57374a0216c3_Method">
    <vt:lpwstr>Standard</vt:lpwstr>
  </property>
  <property fmtid="{D5CDD505-2E9C-101B-9397-08002B2CF9AE}" pid="5" name="MSIP_Label_f604d2c9-1577-460e-b668-57374a0216c3_Name">
    <vt:lpwstr>f604d2c9-1577-460e-b668-57374a0216c3</vt:lpwstr>
  </property>
  <property fmtid="{D5CDD505-2E9C-101B-9397-08002B2CF9AE}" pid="6" name="MSIP_Label_f604d2c9-1577-460e-b668-57374a0216c3_SiteId">
    <vt:lpwstr>1676489c-5c72-46b7-ba63-9ab90c4aad44</vt:lpwstr>
  </property>
  <property fmtid="{D5CDD505-2E9C-101B-9397-08002B2CF9AE}" pid="7" name="MSIP_Label_f604d2c9-1577-460e-b668-57374a0216c3_ActionId">
    <vt:lpwstr>93ae0656-ecec-4624-a692-e361ade2b906</vt:lpwstr>
  </property>
  <property fmtid="{D5CDD505-2E9C-101B-9397-08002B2CF9AE}" pid="8" name="MSIP_Label_f604d2c9-1577-460e-b668-57374a0216c3_ContentBits">
    <vt:lpwstr>2</vt:lpwstr>
  </property>
</Properties>
</file>